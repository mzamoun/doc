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0" windowHeight="7520"/>
  </bookViews>
  <sheets>
    <sheet name="Investissements 1ère année" sheetId="1" r:id="rId1"/>
    <sheet name="Chiffre d'affaire " sheetId="2" r:id="rId2"/>
    <sheet name="Amortissemen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<sst xmlns="http://schemas.openxmlformats.org/spreadsheetml/2006/main" count="155" uniqueCount="77">
  <si>
    <t>Unité</t>
  </si>
  <si>
    <t>PU</t>
  </si>
  <si>
    <t>Quantité</t>
  </si>
  <si>
    <t>Total</t>
  </si>
  <si>
    <t>Achat de la ferme</t>
  </si>
  <si>
    <t>Ferme</t>
  </si>
  <si>
    <t>45 000 000 + frais</t>
  </si>
  <si>
    <t>Améliorations à apporter à l'oliveraie existante</t>
  </si>
  <si>
    <t>Taille oliviers</t>
  </si>
  <si>
    <t>Arbres</t>
  </si>
  <si>
    <t>Travail du sol</t>
  </si>
  <si>
    <t>ha</t>
  </si>
  <si>
    <t>GàG</t>
  </si>
  <si>
    <t>KM</t>
  </si>
  <si>
    <t xml:space="preserve">Goutteurs auto régulant+filtre </t>
  </si>
  <si>
    <t>Station de fertirrigation</t>
  </si>
  <si>
    <t>Brise vent + GàG</t>
  </si>
  <si>
    <t>M</t>
  </si>
  <si>
    <t>Fumier</t>
  </si>
  <si>
    <t>M3</t>
  </si>
  <si>
    <t>Traitement</t>
  </si>
  <si>
    <t xml:space="preserve">Engrais </t>
  </si>
  <si>
    <t>Frais d'exploitation</t>
  </si>
  <si>
    <t>Masse salariale</t>
  </si>
  <si>
    <t>Manutention / Cueillette</t>
  </si>
  <si>
    <t>J</t>
  </si>
  <si>
    <t>Périodique</t>
  </si>
  <si>
    <t>Location engins</t>
  </si>
  <si>
    <t>Ha</t>
  </si>
  <si>
    <t>Casoral</t>
  </si>
  <si>
    <t>Comptable</t>
  </si>
  <si>
    <t>mois</t>
  </si>
  <si>
    <t>Bureau d'études</t>
  </si>
  <si>
    <t>Total 1ère année</t>
  </si>
  <si>
    <t>CA 1ère année</t>
  </si>
  <si>
    <t>Quantités</t>
  </si>
  <si>
    <t>Olive de table</t>
  </si>
  <si>
    <t>T</t>
  </si>
  <si>
    <t>à raison de 15 Kg /Olivier moyen</t>
  </si>
  <si>
    <t>Olive pour pressage</t>
  </si>
  <si>
    <t>Luzerne</t>
  </si>
  <si>
    <t>Botte</t>
  </si>
  <si>
    <t>à raison de 750 bottes/ mois à partir de Mars</t>
  </si>
  <si>
    <t>Céréales (Blé Tendre)</t>
  </si>
  <si>
    <t>Qx</t>
  </si>
  <si>
    <t>Paille céréales</t>
  </si>
  <si>
    <t>Bottes</t>
  </si>
  <si>
    <t>CA 2ème année</t>
  </si>
  <si>
    <t>CA 3ème année</t>
  </si>
  <si>
    <t>CA 4ème année</t>
  </si>
  <si>
    <t xml:space="preserve">Céréales </t>
  </si>
  <si>
    <t>A1</t>
  </si>
  <si>
    <t>Total A1</t>
  </si>
  <si>
    <t>A2</t>
  </si>
  <si>
    <t>Total A2</t>
  </si>
  <si>
    <t>A3</t>
  </si>
  <si>
    <t>A4</t>
  </si>
  <si>
    <t>Total A3</t>
  </si>
  <si>
    <t>A5</t>
  </si>
  <si>
    <t>A0</t>
  </si>
  <si>
    <t>Fournitures</t>
  </si>
  <si>
    <t>Autres frais</t>
  </si>
  <si>
    <t xml:space="preserve">Total Frais </t>
  </si>
  <si>
    <t>Chiffre d'affaire</t>
  </si>
  <si>
    <t>Revenu Net</t>
  </si>
  <si>
    <t>Période</t>
  </si>
  <si>
    <t>5 ans</t>
  </si>
  <si>
    <t>Investissement de départ</t>
  </si>
  <si>
    <t>CAGR 5 ans</t>
  </si>
  <si>
    <t>VAN</t>
  </si>
  <si>
    <t>Taux d'actualisation</t>
  </si>
  <si>
    <t>TRI</t>
  </si>
  <si>
    <t>Indice de profitabilité</t>
  </si>
  <si>
    <t>Calcul VAN</t>
  </si>
  <si>
    <t>Année</t>
  </si>
  <si>
    <t>Investissement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</si>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</sst>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&quot;€&quot;* #,##0_-;\-&quot;€&quot;* #,##0_-;_-&quot;€&quot;* \-_-;_-@_-"/>
    <numFmt numFmtId="179" formatCode="_-&quot;€&quot;* #,##0.00_-;\-&quot;€&quot;* #,##0.00_-;_-&quot;€&quot;* \-??_-;_-@_-"/>
    <numFmt numFmtId="180" formatCode="_ [$DA-85F]* #,##0.00_ ;_ [$DA-85F]* \-#,##0.00_ ;_ [$DA-85F]* &quot;-&quot;??_ ;_ @_ "/>
    <numFmt numFmtId="181" formatCode="_-* #,##0\ _€_-;\-* #,##0\ _€_-;_-* &quot;-&quot;??\ _€_-;_-@_-"/>
    <numFmt numFmtId="182" formatCode="#,##0\ &quot;€&quot;;[Red]\-#,##0\ &quot;€&quot;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4" tint="-0.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3" fillId="0" borderId="2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8" borderId="24" applyNumberFormat="0" applyAlignment="0" applyProtection="0">
      <alignment vertical="center"/>
    </xf>
    <xf numFmtId="0" fontId="14" fillId="9" borderId="25" applyNumberFormat="0" applyAlignment="0" applyProtection="0">
      <alignment vertical="center"/>
    </xf>
    <xf numFmtId="0" fontId="15" fillId="9" borderId="24" applyNumberFormat="0" applyAlignment="0" applyProtection="0">
      <alignment vertical="center"/>
    </xf>
    <xf numFmtId="0" fontId="16" fillId="10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3">
    <xf numFmtId="0" fontId="0" fillId="0" borderId="0" xfId="0"/>
    <xf numFmtId="0" fontId="1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176" fontId="0" fillId="2" borderId="1" xfId="1" applyFont="1" applyFill="1" applyBorder="1" applyAlignment="1">
      <alignment horizontal="center" vertical="center"/>
    </xf>
    <xf numFmtId="176" fontId="0" fillId="2" borderId="1" xfId="1" applyFill="1" applyBorder="1"/>
    <xf numFmtId="0" fontId="1" fillId="2" borderId="1" xfId="0" applyFont="1" applyFill="1" applyBorder="1" applyAlignment="1">
      <alignment horizontal="left" vertical="top"/>
    </xf>
    <xf numFmtId="176" fontId="1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176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0" fillId="2" borderId="0" xfId="0" applyNumberFormat="1" applyFill="1"/>
    <xf numFmtId="176" fontId="2" fillId="2" borderId="1" xfId="0" applyNumberFormat="1" applyFont="1" applyFill="1" applyBorder="1"/>
    <xf numFmtId="176" fontId="4" fillId="2" borderId="1" xfId="0" applyNumberFormat="1" applyFont="1" applyFill="1" applyBorder="1"/>
    <xf numFmtId="9" fontId="2" fillId="2" borderId="0" xfId="3" applyFont="1" applyFill="1" applyAlignment="1">
      <alignment horizontal="center" vertical="center"/>
    </xf>
    <xf numFmtId="9" fontId="0" fillId="2" borderId="0" xfId="3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2" borderId="0" xfId="1" applyFill="1"/>
    <xf numFmtId="176" fontId="0" fillId="2" borderId="0" xfId="1" applyFill="1" applyAlignment="1">
      <alignment vertical="center"/>
    </xf>
    <xf numFmtId="0" fontId="0" fillId="2" borderId="1" xfId="0" applyFill="1" applyBorder="1" applyAlignment="1">
      <alignment horizontal="center" vertical="top"/>
    </xf>
    <xf numFmtId="9" fontId="5" fillId="2" borderId="1" xfId="3" applyFont="1" applyFill="1" applyBorder="1" applyAlignment="1">
      <alignment horizontal="center" vertical="center"/>
    </xf>
    <xf numFmtId="179" fontId="0" fillId="2" borderId="0" xfId="0" applyNumberFormat="1" applyFill="1"/>
    <xf numFmtId="176" fontId="5" fillId="2" borderId="1" xfId="0" applyNumberFormat="1" applyFont="1" applyFill="1" applyBorder="1" applyAlignment="1">
      <alignment horizontal="center" vertical="center"/>
    </xf>
    <xf numFmtId="9" fontId="0" fillId="2" borderId="1" xfId="3" applyFill="1" applyBorder="1" applyAlignment="1">
      <alignment horizontal="center" vertical="center"/>
    </xf>
    <xf numFmtId="176" fontId="0" fillId="2" borderId="1" xfId="1" applyNumberFormat="1" applyFill="1" applyBorder="1"/>
    <xf numFmtId="9" fontId="0" fillId="2" borderId="1" xfId="0" applyNumberFormat="1" applyFill="1" applyBorder="1"/>
    <xf numFmtId="176" fontId="0" fillId="2" borderId="1" xfId="0" applyNumberFormat="1" applyFill="1" applyBorder="1" applyAlignment="1">
      <alignment horizontal="left" vertical="top"/>
    </xf>
    <xf numFmtId="179" fontId="0" fillId="2" borderId="0" xfId="0" applyNumberForma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0" fillId="2" borderId="1" xfId="1" applyFill="1" applyBorder="1" applyAlignment="1">
      <alignment horizontal="left" vertical="top"/>
    </xf>
    <xf numFmtId="176" fontId="0" fillId="2" borderId="1" xfId="1" applyFill="1" applyBorder="1" applyAlignment="1">
      <alignment horizontal="center" vertical="center"/>
    </xf>
    <xf numFmtId="176" fontId="2" fillId="2" borderId="1" xfId="1" applyFont="1" applyFill="1" applyBorder="1" applyAlignment="1">
      <alignment horizontal="center" vertical="center"/>
    </xf>
    <xf numFmtId="10" fontId="0" fillId="2" borderId="1" xfId="3" applyNumberFormat="1" applyFill="1" applyBorder="1" applyAlignment="1"/>
    <xf numFmtId="0" fontId="0" fillId="0" borderId="0" xfId="0" applyAlignment="1">
      <alignment horizontal="center" vertical="center"/>
    </xf>
    <xf numFmtId="0" fontId="5" fillId="0" borderId="0" xfId="0" applyFont="1"/>
    <xf numFmtId="0" fontId="0" fillId="2" borderId="0" xfId="0" applyFill="1" applyAlignment="1">
      <alignment horizontal="center" vertical="center"/>
    </xf>
    <xf numFmtId="0" fontId="5" fillId="2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76" fontId="0" fillId="2" borderId="1" xfId="1" applyFont="1" applyFill="1" applyBorder="1" applyAlignment="1">
      <alignment horizontal="center" vertical="center"/>
    </xf>
    <xf numFmtId="176" fontId="0" fillId="2" borderId="2" xfId="1" applyFont="1" applyFill="1" applyBorder="1" applyAlignment="1">
      <alignment horizontal="center" vertical="center"/>
    </xf>
    <xf numFmtId="176" fontId="0" fillId="2" borderId="3" xfId="1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2" borderId="5" xfId="0" applyFont="1" applyFill="1" applyBorder="1"/>
    <xf numFmtId="176" fontId="0" fillId="2" borderId="6" xfId="1" applyFont="1" applyFill="1" applyBorder="1" applyAlignment="1">
      <alignment horizontal="center" vertical="center"/>
    </xf>
    <xf numFmtId="176" fontId="0" fillId="3" borderId="6" xfId="1" applyFont="1" applyFill="1" applyBorder="1" applyAlignment="1">
      <alignment horizontal="center" vertical="center"/>
    </xf>
    <xf numFmtId="176" fontId="0" fillId="3" borderId="7" xfId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5" fillId="2" borderId="9" xfId="0" applyFont="1" applyFill="1" applyBorder="1"/>
    <xf numFmtId="181" fontId="0" fillId="2" borderId="1" xfId="1" applyNumberFormat="1" applyFont="1" applyFill="1" applyBorder="1" applyAlignment="1">
      <alignment horizontal="center" vertical="center"/>
    </xf>
    <xf numFmtId="181" fontId="0" fillId="3" borderId="1" xfId="1" applyNumberFormat="1" applyFont="1" applyFill="1" applyBorder="1" applyAlignment="1">
      <alignment horizontal="center" vertical="center"/>
    </xf>
    <xf numFmtId="181" fontId="0" fillId="3" borderId="10" xfId="1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2" borderId="2" xfId="0" applyFont="1" applyFill="1" applyBorder="1"/>
    <xf numFmtId="176" fontId="5" fillId="2" borderId="2" xfId="0" applyNumberFormat="1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/>
    </xf>
    <xf numFmtId="176" fontId="5" fillId="2" borderId="0" xfId="0" applyNumberFormat="1" applyFont="1" applyFill="1"/>
    <xf numFmtId="0" fontId="5" fillId="2" borderId="6" xfId="0" applyFont="1" applyFill="1" applyBorder="1"/>
    <xf numFmtId="176" fontId="0" fillId="3" borderId="6" xfId="1" applyFill="1" applyBorder="1" applyAlignment="1">
      <alignment horizontal="center" vertical="center"/>
    </xf>
    <xf numFmtId="176" fontId="0" fillId="3" borderId="7" xfId="1" applyFill="1" applyBorder="1" applyAlignment="1">
      <alignment horizontal="center" vertical="center"/>
    </xf>
    <xf numFmtId="0" fontId="5" fillId="2" borderId="1" xfId="0" applyFont="1" applyFill="1" applyBorder="1"/>
    <xf numFmtId="176" fontId="0" fillId="3" borderId="1" xfId="1" applyFill="1" applyBorder="1" applyAlignment="1">
      <alignment horizontal="center" vertical="center"/>
    </xf>
    <xf numFmtId="176" fontId="0" fillId="3" borderId="10" xfId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6" fontId="5" fillId="2" borderId="2" xfId="1" applyFont="1" applyFill="1" applyBorder="1" applyAlignment="1">
      <alignment horizontal="center" vertical="center"/>
    </xf>
    <xf numFmtId="176" fontId="5" fillId="2" borderId="2" xfId="1" applyFont="1" applyFill="1" applyBorder="1" applyAlignment="1">
      <alignment horizontal="center" vertical="center"/>
    </xf>
    <xf numFmtId="176" fontId="5" fillId="2" borderId="12" xfId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5" fillId="2" borderId="4" xfId="0" applyFont="1" applyFill="1" applyBorder="1"/>
    <xf numFmtId="0" fontId="0" fillId="3" borderId="15" xfId="0" applyFill="1" applyBorder="1" applyAlignment="1">
      <alignment horizontal="center" vertical="center"/>
    </xf>
    <xf numFmtId="0" fontId="5" fillId="2" borderId="8" xfId="0" applyFont="1" applyFill="1" applyBorder="1"/>
    <xf numFmtId="181" fontId="0" fillId="3" borderId="1" xfId="1" applyNumberForma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2" borderId="11" xfId="0" applyFont="1" applyFill="1" applyBorder="1"/>
    <xf numFmtId="0" fontId="0" fillId="3" borderId="17" xfId="0" applyFill="1" applyBorder="1" applyAlignment="1">
      <alignment horizontal="center" vertical="center"/>
    </xf>
    <xf numFmtId="181" fontId="0" fillId="3" borderId="1" xfId="0" applyNumberFormat="1" applyFill="1" applyBorder="1" applyAlignment="1">
      <alignment horizontal="center" vertical="center"/>
    </xf>
    <xf numFmtId="0" fontId="5" fillId="2" borderId="13" xfId="0" applyFont="1" applyFill="1" applyBorder="1"/>
    <xf numFmtId="176" fontId="5" fillId="2" borderId="18" xfId="0" applyNumberFormat="1" applyFont="1" applyFill="1" applyBorder="1" applyAlignment="1">
      <alignment horizontal="center" vertical="center"/>
    </xf>
    <xf numFmtId="176" fontId="5" fillId="2" borderId="18" xfId="1" applyFont="1" applyFill="1" applyBorder="1" applyAlignment="1">
      <alignment horizontal="center" vertical="center"/>
    </xf>
    <xf numFmtId="176" fontId="5" fillId="2" borderId="19" xfId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5" fillId="3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176" fontId="0" fillId="0" borderId="1" xfId="1" applyFont="1" applyBorder="1" applyAlignment="1">
      <alignment horizontal="center" vertical="center"/>
    </xf>
    <xf numFmtId="176" fontId="0" fillId="4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1" fillId="2" borderId="0" xfId="0" applyFont="1" applyFill="1" applyBorder="1"/>
    <xf numFmtId="0" fontId="0" fillId="0" borderId="0" xfId="0" applyBorder="1"/>
    <xf numFmtId="0" fontId="5" fillId="0" borderId="1" xfId="0" applyFont="1" applyBorder="1" applyAlignment="1">
      <alignment horizontal="right"/>
    </xf>
    <xf numFmtId="176" fontId="5" fillId="2" borderId="1" xfId="1" applyFont="1" applyFill="1" applyBorder="1" applyAlignment="1">
      <alignment horizontal="center" vertical="center"/>
    </xf>
    <xf numFmtId="0" fontId="0" fillId="4" borderId="0" xfId="0" applyFill="1" applyBorder="1"/>
    <xf numFmtId="176" fontId="0" fillId="0" borderId="0" xfId="0" applyNumberFormat="1" applyAlignment="1">
      <alignment horizontal="left"/>
    </xf>
    <xf numFmtId="0" fontId="5" fillId="5" borderId="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176" fontId="0" fillId="0" borderId="0" xfId="1" applyFont="1"/>
    <xf numFmtId="0" fontId="5" fillId="0" borderId="1" xfId="0" applyFont="1" applyBorder="1"/>
    <xf numFmtId="176" fontId="5" fillId="0" borderId="1" xfId="0" applyNumberFormat="1" applyFont="1" applyBorder="1"/>
    <xf numFmtId="176" fontId="5" fillId="6" borderId="1" xfId="1" applyFont="1" applyFill="1" applyBorder="1" applyAlignment="1">
      <alignment horizontal="center" vertical="center"/>
    </xf>
    <xf numFmtId="182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6"/>
  <sheetViews>
    <sheetView tabSelected="1" topLeftCell="A13" workbookViewId="0">
      <selection activeCell="C29" sqref="C29"/>
    </sheetView>
  </sheetViews>
  <sheetFormatPr defaultColWidth="11" defaultRowHeight="14.5" outlineLevelCol="7"/>
  <cols>
    <col min="1" max="1" width="3.36363636363636" customWidth="1"/>
    <col min="2" max="2" width="26.7272727272727" customWidth="1"/>
    <col min="3" max="3" width="7.90909090909091" customWidth="1"/>
    <col min="4" max="4" width="14.9090909090909" customWidth="1"/>
    <col min="5" max="5" width="10.5454545454545" customWidth="1"/>
    <col min="6" max="6" width="16.0909090909091" customWidth="1"/>
    <col min="7" max="7" width="41.5454545454545" customWidth="1"/>
    <col min="8" max="8" width="12.7272727272727" customWidth="1"/>
  </cols>
  <sheetData>
    <row r="1" spans="2:6">
      <c r="B1" s="94"/>
      <c r="C1" s="94" t="s">
        <v>0</v>
      </c>
      <c r="D1" s="94" t="s">
        <v>1</v>
      </c>
      <c r="E1" s="94" t="s">
        <v>2</v>
      </c>
      <c r="F1" s="94" t="s">
        <v>3</v>
      </c>
    </row>
    <row r="2" hidden="1" spans="2:7">
      <c r="B2" s="94" t="s">
        <v>4</v>
      </c>
      <c r="C2" s="95" t="s">
        <v>5</v>
      </c>
      <c r="D2" s="96">
        <v>46500000</v>
      </c>
      <c r="E2" s="96">
        <v>1</v>
      </c>
      <c r="F2" s="97">
        <f>E2*D2</f>
        <v>46500000</v>
      </c>
      <c r="G2" t="s">
        <v>6</v>
      </c>
    </row>
    <row r="3" spans="2:7">
      <c r="B3" s="98" t="s">
        <v>7</v>
      </c>
      <c r="C3" s="98"/>
      <c r="D3" s="98"/>
      <c r="E3" s="98"/>
      <c r="F3" s="98"/>
      <c r="G3" s="99"/>
    </row>
    <row r="4" spans="2:7">
      <c r="B4" s="94" t="s">
        <v>8</v>
      </c>
      <c r="C4" s="95" t="s">
        <v>9</v>
      </c>
      <c r="D4" s="96">
        <v>110</v>
      </c>
      <c r="E4" s="96">
        <v>8000</v>
      </c>
      <c r="F4" s="6">
        <f t="shared" ref="F4:F12" si="0">E4*D4</f>
        <v>880000</v>
      </c>
      <c r="G4" s="100"/>
    </row>
    <row r="5" spans="2:7">
      <c r="B5" s="94" t="s">
        <v>10</v>
      </c>
      <c r="C5" s="95" t="s">
        <v>11</v>
      </c>
      <c r="D5" s="96">
        <v>15000</v>
      </c>
      <c r="E5" s="96">
        <v>55</v>
      </c>
      <c r="F5" s="6">
        <f t="shared" si="0"/>
        <v>825000</v>
      </c>
      <c r="G5" s="100"/>
    </row>
    <row r="6" spans="2:7">
      <c r="B6" s="94" t="s">
        <v>12</v>
      </c>
      <c r="C6" s="95" t="s">
        <v>13</v>
      </c>
      <c r="D6" s="96">
        <f>23*1000</f>
        <v>23000</v>
      </c>
      <c r="E6" s="96">
        <v>41</v>
      </c>
      <c r="F6" s="6">
        <f t="shared" si="0"/>
        <v>943000</v>
      </c>
      <c r="G6" s="100"/>
    </row>
    <row r="7" spans="2:7">
      <c r="B7" s="94" t="s">
        <v>14</v>
      </c>
      <c r="C7" s="95" t="s">
        <v>0</v>
      </c>
      <c r="D7" s="96">
        <v>18</v>
      </c>
      <c r="E7" s="96">
        <v>16000</v>
      </c>
      <c r="F7" s="6">
        <f t="shared" si="0"/>
        <v>288000</v>
      </c>
      <c r="G7" s="100"/>
    </row>
    <row r="8" spans="2:7">
      <c r="B8" s="94" t="s">
        <v>15</v>
      </c>
      <c r="C8" s="95" t="s">
        <v>0</v>
      </c>
      <c r="D8" s="96">
        <v>300000</v>
      </c>
      <c r="E8" s="96">
        <v>1</v>
      </c>
      <c r="F8" s="6">
        <f t="shared" si="0"/>
        <v>300000</v>
      </c>
      <c r="G8" s="100"/>
    </row>
    <row r="9" spans="2:7">
      <c r="B9" s="94" t="s">
        <v>16</v>
      </c>
      <c r="C9" s="95" t="s">
        <v>17</v>
      </c>
      <c r="D9" s="96">
        <v>100</v>
      </c>
      <c r="E9" s="96">
        <v>3900</v>
      </c>
      <c r="F9" s="6">
        <f t="shared" si="0"/>
        <v>390000</v>
      </c>
      <c r="G9" s="100"/>
    </row>
    <row r="10" spans="2:7">
      <c r="B10" s="94" t="s">
        <v>18</v>
      </c>
      <c r="C10" s="95" t="s">
        <v>19</v>
      </c>
      <c r="D10" s="96">
        <v>6000</v>
      </c>
      <c r="E10" s="96">
        <v>56</v>
      </c>
      <c r="F10" s="6">
        <f t="shared" si="0"/>
        <v>336000</v>
      </c>
      <c r="G10" s="100"/>
    </row>
    <row r="11" spans="2:7">
      <c r="B11" s="94" t="s">
        <v>20</v>
      </c>
      <c r="C11" s="95"/>
      <c r="D11" s="96">
        <v>2000000</v>
      </c>
      <c r="E11" s="96">
        <v>1</v>
      </c>
      <c r="F11" s="6">
        <f t="shared" si="0"/>
        <v>2000000</v>
      </c>
      <c r="G11" s="100"/>
    </row>
    <row r="12" spans="2:7">
      <c r="B12" s="94" t="s">
        <v>21</v>
      </c>
      <c r="C12" s="95"/>
      <c r="D12" s="96">
        <v>2000000</v>
      </c>
      <c r="E12" s="96">
        <v>1</v>
      </c>
      <c r="F12" s="6">
        <f t="shared" si="0"/>
        <v>2000000</v>
      </c>
      <c r="G12" s="100"/>
    </row>
    <row r="13" spans="2:7">
      <c r="B13" s="94" t="s">
        <v>3</v>
      </c>
      <c r="C13" s="95"/>
      <c r="D13" s="96"/>
      <c r="E13" s="96"/>
      <c r="F13" s="6">
        <f>SUM(F4:F12)</f>
        <v>7962000</v>
      </c>
      <c r="G13" s="100"/>
    </row>
    <row r="14" spans="2:7">
      <c r="B14" s="101" t="s">
        <v>3</v>
      </c>
      <c r="C14" s="95"/>
      <c r="D14" s="96"/>
      <c r="E14" s="96"/>
      <c r="F14" s="102">
        <f>SUM(F4:F12,F2)</f>
        <v>54462000</v>
      </c>
      <c r="G14" s="103"/>
    </row>
    <row r="15" spans="7:7">
      <c r="G15" s="104">
        <f>F4+F5+F10+F11+F12</f>
        <v>6041000</v>
      </c>
    </row>
    <row r="17" spans="2:6">
      <c r="B17" s="105" t="s">
        <v>22</v>
      </c>
      <c r="C17" s="106"/>
      <c r="D17" s="106"/>
      <c r="E17" s="106"/>
      <c r="F17" s="107"/>
    </row>
    <row r="18" spans="2:8">
      <c r="B18" s="94" t="s">
        <v>23</v>
      </c>
      <c r="C18" s="95" t="s">
        <v>0</v>
      </c>
      <c r="D18" s="96">
        <v>500000</v>
      </c>
      <c r="E18" s="96">
        <v>12</v>
      </c>
      <c r="F18" s="96">
        <f>E18*D18</f>
        <v>6000000</v>
      </c>
      <c r="H18" s="108"/>
    </row>
    <row r="19" spans="2:7">
      <c r="B19" s="94" t="s">
        <v>24</v>
      </c>
      <c r="C19" s="95" t="s">
        <v>25</v>
      </c>
      <c r="D19" s="96">
        <v>20000</v>
      </c>
      <c r="E19" s="96">
        <v>15</v>
      </c>
      <c r="F19" s="6">
        <f>E19*D19</f>
        <v>300000</v>
      </c>
      <c r="G19" t="s">
        <v>26</v>
      </c>
    </row>
    <row r="20" spans="2:7">
      <c r="B20" s="94" t="s">
        <v>27</v>
      </c>
      <c r="C20" s="95" t="s">
        <v>28</v>
      </c>
      <c r="D20" s="96">
        <v>15000</v>
      </c>
      <c r="E20" s="96">
        <v>50</v>
      </c>
      <c r="F20" s="6">
        <f>E20*D20</f>
        <v>750000</v>
      </c>
      <c r="G20" t="s">
        <v>26</v>
      </c>
    </row>
    <row r="21" spans="2:6">
      <c r="B21" s="94" t="s">
        <v>29</v>
      </c>
      <c r="C21" s="95">
        <v>1</v>
      </c>
      <c r="D21" s="96"/>
      <c r="E21" s="96"/>
      <c r="F21" s="96">
        <v>150000</v>
      </c>
    </row>
    <row r="22" spans="2:6">
      <c r="B22" s="94" t="s">
        <v>30</v>
      </c>
      <c r="C22" s="95" t="s">
        <v>31</v>
      </c>
      <c r="D22" s="96">
        <v>20000</v>
      </c>
      <c r="E22" s="96">
        <v>12</v>
      </c>
      <c r="F22" s="96">
        <f>D22*E22</f>
        <v>240000</v>
      </c>
    </row>
    <row r="23" spans="2:6">
      <c r="B23" s="94" t="s">
        <v>32</v>
      </c>
      <c r="C23" s="95" t="s">
        <v>28</v>
      </c>
      <c r="D23" s="96">
        <v>25000</v>
      </c>
      <c r="E23" s="96">
        <v>55</v>
      </c>
      <c r="F23" s="96">
        <f>E23*D23</f>
        <v>1375000</v>
      </c>
    </row>
    <row r="24" spans="2:6">
      <c r="B24" s="109" t="s">
        <v>3</v>
      </c>
      <c r="C24" s="94"/>
      <c r="D24" s="94"/>
      <c r="E24" s="94"/>
      <c r="F24" s="110">
        <f>SUM(F18:F23)</f>
        <v>8815000</v>
      </c>
    </row>
    <row r="26" spans="2:8">
      <c r="B26" s="109" t="s">
        <v>33</v>
      </c>
      <c r="C26" s="95"/>
      <c r="D26" s="96"/>
      <c r="E26" s="96"/>
      <c r="F26" s="111">
        <f>F14+F18+F19+F20+F21+F22+F23</f>
        <v>63277000</v>
      </c>
      <c r="H26" s="112"/>
    </row>
  </sheetData>
  <mergeCells count="2">
    <mergeCell ref="B3:F3"/>
    <mergeCell ref="B17:F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37" sqref="A37:H53"/>
    </sheetView>
  </sheetViews>
  <sheetFormatPr defaultColWidth="11" defaultRowHeight="14.5"/>
  <cols>
    <col min="1" max="1" width="9.72727272727273" customWidth="1"/>
    <col min="2" max="2" width="15.5454545454545" customWidth="1"/>
    <col min="3" max="3" width="15.5454545454545" style="39" customWidth="1"/>
    <col min="4" max="4" width="19" style="39" customWidth="1"/>
    <col min="5" max="5" width="15.5454545454545" style="39" customWidth="1"/>
    <col min="6" max="6" width="15.0909090909091" style="39" customWidth="1"/>
    <col min="7" max="7" width="14.5454545454545" style="39"/>
    <col min="8" max="8" width="15.6363636363636"/>
  </cols>
  <sheetData>
    <row r="1" spans="1:11">
      <c r="A1" s="3"/>
      <c r="B1" s="3"/>
      <c r="C1" s="41"/>
      <c r="D1" s="41"/>
      <c r="E1" s="41"/>
      <c r="F1" s="41"/>
      <c r="G1" s="41"/>
      <c r="H1" s="3"/>
      <c r="I1" s="3"/>
      <c r="J1" s="3"/>
      <c r="K1" s="3"/>
    </row>
    <row r="2" hidden="1" spans="1:11">
      <c r="A2" s="42" t="s">
        <v>34</v>
      </c>
      <c r="B2" s="3"/>
      <c r="C2" s="41"/>
      <c r="D2" s="41"/>
      <c r="E2" s="41"/>
      <c r="F2" s="41"/>
      <c r="G2" s="41"/>
      <c r="H2" s="3"/>
      <c r="I2" s="3"/>
      <c r="J2" s="3"/>
      <c r="K2" s="3"/>
    </row>
    <row r="3" hidden="1" spans="1:11">
      <c r="A3" s="43"/>
      <c r="B3" s="43" t="s">
        <v>0</v>
      </c>
      <c r="C3" s="44" t="s">
        <v>1</v>
      </c>
      <c r="D3" s="44" t="s">
        <v>35</v>
      </c>
      <c r="E3" s="44" t="s">
        <v>3</v>
      </c>
      <c r="F3" s="41"/>
      <c r="G3" s="41"/>
      <c r="H3" s="3"/>
      <c r="I3" s="3"/>
      <c r="J3" s="3"/>
      <c r="K3" s="3"/>
    </row>
    <row r="4" hidden="1" spans="1:11">
      <c r="A4" s="43" t="s">
        <v>36</v>
      </c>
      <c r="B4" s="43" t="s">
        <v>37</v>
      </c>
      <c r="C4" s="45">
        <f>200*1000</f>
        <v>200000</v>
      </c>
      <c r="D4" s="45">
        <v>60</v>
      </c>
      <c r="E4" s="45">
        <f>D4*C4</f>
        <v>12000000</v>
      </c>
      <c r="F4" s="41" t="s">
        <v>38</v>
      </c>
      <c r="G4" s="41"/>
      <c r="H4" s="3"/>
      <c r="I4" s="3"/>
      <c r="J4" s="3"/>
      <c r="K4" s="3"/>
    </row>
    <row r="5" hidden="1" spans="1:11">
      <c r="A5" s="43" t="s">
        <v>39</v>
      </c>
      <c r="B5" s="43" t="s">
        <v>37</v>
      </c>
      <c r="C5" s="45">
        <f>125*1000</f>
        <v>125000</v>
      </c>
      <c r="D5" s="45">
        <v>60</v>
      </c>
      <c r="E5" s="45">
        <f t="shared" ref="E5:E8" si="0">D5*C5</f>
        <v>7500000</v>
      </c>
      <c r="F5" s="41" t="s">
        <v>38</v>
      </c>
      <c r="G5" s="41"/>
      <c r="H5" s="3"/>
      <c r="I5" s="3"/>
      <c r="J5" s="3"/>
      <c r="K5" s="3"/>
    </row>
    <row r="6" hidden="1" spans="1:11">
      <c r="A6" s="43" t="s">
        <v>40</v>
      </c>
      <c r="B6" s="43" t="s">
        <v>41</v>
      </c>
      <c r="C6" s="45">
        <v>600</v>
      </c>
      <c r="D6" s="45">
        <v>6000</v>
      </c>
      <c r="E6" s="45">
        <f t="shared" si="0"/>
        <v>3600000</v>
      </c>
      <c r="F6" s="41" t="s">
        <v>42</v>
      </c>
      <c r="G6" s="41"/>
      <c r="H6" s="3"/>
      <c r="I6" s="3"/>
      <c r="J6" s="3"/>
      <c r="K6" s="3"/>
    </row>
    <row r="7" hidden="1" spans="1:11">
      <c r="A7" s="43" t="s">
        <v>43</v>
      </c>
      <c r="B7" s="43" t="s">
        <v>44</v>
      </c>
      <c r="C7" s="45">
        <v>5000</v>
      </c>
      <c r="D7" s="45">
        <v>200</v>
      </c>
      <c r="E7" s="45">
        <f t="shared" si="0"/>
        <v>1000000</v>
      </c>
      <c r="F7" s="41"/>
      <c r="G7" s="41"/>
      <c r="H7" s="3"/>
      <c r="I7" s="3"/>
      <c r="J7" s="3"/>
      <c r="K7" s="3"/>
    </row>
    <row r="8" hidden="1" spans="1:11">
      <c r="A8" s="43" t="s">
        <v>45</v>
      </c>
      <c r="B8" s="43" t="s">
        <v>46</v>
      </c>
      <c r="C8" s="45">
        <v>700</v>
      </c>
      <c r="D8" s="45">
        <v>2000</v>
      </c>
      <c r="E8" s="45">
        <f t="shared" si="0"/>
        <v>1400000</v>
      </c>
      <c r="F8" s="41"/>
      <c r="G8" s="41"/>
      <c r="H8" s="3"/>
      <c r="I8" s="3"/>
      <c r="J8" s="3"/>
      <c r="K8" s="3"/>
    </row>
    <row r="9" hidden="1" spans="1:11">
      <c r="A9" s="43"/>
      <c r="B9" s="43"/>
      <c r="C9" s="45"/>
      <c r="D9" s="45"/>
      <c r="E9" s="45">
        <f>SUM(E4:E8)</f>
        <v>25500000</v>
      </c>
      <c r="F9" s="41"/>
      <c r="G9" s="41"/>
      <c r="H9" s="3"/>
      <c r="I9" s="3"/>
      <c r="J9" s="3"/>
      <c r="K9" s="3"/>
    </row>
    <row r="10" hidden="1" spans="1:11">
      <c r="A10" s="3"/>
      <c r="B10" s="3"/>
      <c r="C10" s="41"/>
      <c r="D10" s="41"/>
      <c r="E10" s="41"/>
      <c r="F10" s="41"/>
      <c r="G10" s="41"/>
      <c r="H10" s="3"/>
      <c r="I10" s="3"/>
      <c r="J10" s="3"/>
      <c r="K10" s="3"/>
    </row>
    <row r="11" hidden="1" spans="1:11">
      <c r="A11" s="42" t="s">
        <v>47</v>
      </c>
      <c r="B11" s="3"/>
      <c r="C11" s="41"/>
      <c r="D11" s="41"/>
      <c r="E11" s="41"/>
      <c r="F11" s="41"/>
      <c r="G11" s="41"/>
      <c r="H11" s="3"/>
      <c r="I11" s="3"/>
      <c r="J11" s="3"/>
      <c r="K11" s="3"/>
    </row>
    <row r="12" hidden="1" spans="1:11">
      <c r="A12" s="43"/>
      <c r="B12" s="43" t="s">
        <v>0</v>
      </c>
      <c r="C12" s="44" t="s">
        <v>1</v>
      </c>
      <c r="D12" s="44" t="s">
        <v>35</v>
      </c>
      <c r="E12" s="44" t="s">
        <v>3</v>
      </c>
      <c r="F12" s="41"/>
      <c r="G12" s="41"/>
      <c r="H12" s="3"/>
      <c r="I12" s="3"/>
      <c r="J12" s="3"/>
      <c r="K12" s="3"/>
    </row>
    <row r="13" hidden="1" spans="1:11">
      <c r="A13" s="43" t="s">
        <v>36</v>
      </c>
      <c r="B13" s="43" t="s">
        <v>37</v>
      </c>
      <c r="C13" s="45">
        <f>200*1000</f>
        <v>200000</v>
      </c>
      <c r="D13" s="45">
        <f>D4*1.3</f>
        <v>78</v>
      </c>
      <c r="E13" s="45">
        <f>D13*C13</f>
        <v>15600000</v>
      </c>
      <c r="F13" s="41"/>
      <c r="G13" s="41"/>
      <c r="H13" s="3"/>
      <c r="I13" s="3"/>
      <c r="J13" s="3"/>
      <c r="K13" s="3"/>
    </row>
    <row r="14" hidden="1" spans="1:11">
      <c r="A14" s="43" t="s">
        <v>39</v>
      </c>
      <c r="B14" s="43" t="s">
        <v>37</v>
      </c>
      <c r="C14" s="45">
        <f>125*1000</f>
        <v>125000</v>
      </c>
      <c r="D14" s="45">
        <f>D5*1.3</f>
        <v>78</v>
      </c>
      <c r="E14" s="45">
        <f t="shared" ref="E14:E15" si="1">D14*C14</f>
        <v>9750000</v>
      </c>
      <c r="F14" s="41"/>
      <c r="G14" s="41"/>
      <c r="H14" s="3"/>
      <c r="I14" s="3"/>
      <c r="J14" s="3"/>
      <c r="K14" s="3"/>
    </row>
    <row r="15" hidden="1" spans="1:11">
      <c r="A15" s="43" t="s">
        <v>40</v>
      </c>
      <c r="B15" s="43" t="s">
        <v>41</v>
      </c>
      <c r="C15" s="45">
        <v>700</v>
      </c>
      <c r="D15" s="45">
        <v>9000</v>
      </c>
      <c r="E15" s="46">
        <f t="shared" si="1"/>
        <v>6300000</v>
      </c>
      <c r="F15" s="41"/>
      <c r="G15" s="41"/>
      <c r="H15" s="3"/>
      <c r="I15" s="3"/>
      <c r="J15" s="3"/>
      <c r="K15" s="3"/>
    </row>
    <row r="16" hidden="1" spans="1:11">
      <c r="A16" s="43"/>
      <c r="B16" s="43"/>
      <c r="C16" s="45"/>
      <c r="D16" s="47"/>
      <c r="E16" s="45">
        <f>SUM(E13:E15)</f>
        <v>31650000</v>
      </c>
      <c r="F16" s="41"/>
      <c r="G16" s="41"/>
      <c r="H16" s="3"/>
      <c r="I16" s="3"/>
      <c r="J16" s="3"/>
      <c r="K16" s="3"/>
    </row>
    <row r="17" hidden="1" spans="1:11">
      <c r="A17" s="3"/>
      <c r="B17" s="3"/>
      <c r="C17" s="41"/>
      <c r="D17" s="41"/>
      <c r="E17" s="41"/>
      <c r="F17" s="41"/>
      <c r="G17" s="41"/>
      <c r="H17" s="3"/>
      <c r="I17" s="3"/>
      <c r="J17" s="3"/>
      <c r="K17" s="3"/>
    </row>
    <row r="18" hidden="1" spans="1:11">
      <c r="A18" s="3"/>
      <c r="B18" s="3"/>
      <c r="C18" s="41"/>
      <c r="D18" s="41"/>
      <c r="E18" s="41"/>
      <c r="F18" s="41"/>
      <c r="G18" s="41"/>
      <c r="H18" s="3"/>
      <c r="I18" s="3"/>
      <c r="J18" s="3"/>
      <c r="K18" s="3"/>
    </row>
    <row r="19" hidden="1" spans="1:11">
      <c r="A19" s="42" t="s">
        <v>48</v>
      </c>
      <c r="B19" s="3"/>
      <c r="C19" s="41"/>
      <c r="D19" s="41"/>
      <c r="E19" s="41"/>
      <c r="F19" s="41"/>
      <c r="G19" s="41"/>
      <c r="H19" s="3"/>
      <c r="I19" s="3"/>
      <c r="J19" s="3"/>
      <c r="K19" s="3"/>
    </row>
    <row r="20" hidden="1" spans="1:11">
      <c r="A20" s="43"/>
      <c r="B20" s="43" t="s">
        <v>0</v>
      </c>
      <c r="C20" s="44" t="s">
        <v>1</v>
      </c>
      <c r="D20" s="44" t="s">
        <v>35</v>
      </c>
      <c r="E20" s="44" t="s">
        <v>3</v>
      </c>
      <c r="F20" s="41"/>
      <c r="G20" s="41"/>
      <c r="H20" s="3"/>
      <c r="I20" s="3"/>
      <c r="J20" s="3"/>
      <c r="K20" s="3"/>
    </row>
    <row r="21" hidden="1" spans="1:11">
      <c r="A21" s="43" t="s">
        <v>36</v>
      </c>
      <c r="B21" s="43" t="s">
        <v>37</v>
      </c>
      <c r="C21" s="45">
        <f>200*1000</f>
        <v>200000</v>
      </c>
      <c r="D21" s="45">
        <f>D13*1.2</f>
        <v>93.6</v>
      </c>
      <c r="E21" s="45">
        <f>D21*C21</f>
        <v>18720000</v>
      </c>
      <c r="F21" s="41"/>
      <c r="G21" s="41"/>
      <c r="H21" s="3"/>
      <c r="I21" s="3"/>
      <c r="J21" s="3"/>
      <c r="K21" s="3"/>
    </row>
    <row r="22" hidden="1" spans="1:11">
      <c r="A22" s="43" t="s">
        <v>39</v>
      </c>
      <c r="B22" s="43" t="s">
        <v>37</v>
      </c>
      <c r="C22" s="45">
        <f>125*1000</f>
        <v>125000</v>
      </c>
      <c r="D22" s="45">
        <f>D14*1.2</f>
        <v>93.6</v>
      </c>
      <c r="E22" s="45">
        <f t="shared" ref="E22:E23" si="2">D22*C22</f>
        <v>11700000</v>
      </c>
      <c r="F22" s="41"/>
      <c r="G22" s="41"/>
      <c r="H22" s="3"/>
      <c r="I22" s="3"/>
      <c r="J22" s="3"/>
      <c r="K22" s="3"/>
    </row>
    <row r="23" hidden="1" spans="1:11">
      <c r="A23" s="43" t="s">
        <v>40</v>
      </c>
      <c r="B23" s="43" t="s">
        <v>41</v>
      </c>
      <c r="C23" s="45">
        <v>750</v>
      </c>
      <c r="D23" s="45">
        <v>9000</v>
      </c>
      <c r="E23" s="45">
        <f t="shared" si="2"/>
        <v>6750000</v>
      </c>
      <c r="F23" s="41"/>
      <c r="G23" s="41"/>
      <c r="H23" s="3"/>
      <c r="I23" s="3"/>
      <c r="J23" s="3"/>
      <c r="K23" s="3"/>
    </row>
    <row r="24" hidden="1" spans="1:11">
      <c r="A24" s="43"/>
      <c r="B24" s="43"/>
      <c r="C24" s="45"/>
      <c r="D24" s="45"/>
      <c r="E24" s="45">
        <f>SUM(E21:E23)</f>
        <v>37170000</v>
      </c>
      <c r="F24" s="41"/>
      <c r="G24" s="41"/>
      <c r="H24" s="3"/>
      <c r="I24" s="3"/>
      <c r="J24" s="3"/>
      <c r="K24" s="3"/>
    </row>
    <row r="25" hidden="1" spans="1:11">
      <c r="A25" s="3"/>
      <c r="B25" s="3"/>
      <c r="C25" s="41"/>
      <c r="D25" s="41"/>
      <c r="E25" s="41"/>
      <c r="F25" s="41"/>
      <c r="G25" s="41"/>
      <c r="H25" s="3"/>
      <c r="I25" s="3"/>
      <c r="J25" s="3"/>
      <c r="K25" s="3"/>
    </row>
    <row r="26" hidden="1" spans="1:11">
      <c r="A26" s="3"/>
      <c r="B26" s="3"/>
      <c r="C26" s="41"/>
      <c r="D26" s="41"/>
      <c r="E26" s="41"/>
      <c r="F26" s="41"/>
      <c r="G26" s="41"/>
      <c r="H26" s="3"/>
      <c r="I26" s="3"/>
      <c r="J26" s="3"/>
      <c r="K26" s="3"/>
    </row>
    <row r="27" hidden="1" spans="1:11">
      <c r="A27" s="42" t="s">
        <v>49</v>
      </c>
      <c r="B27" s="3"/>
      <c r="C27" s="41"/>
      <c r="D27" s="41"/>
      <c r="E27" s="41"/>
      <c r="F27" s="41"/>
      <c r="G27" s="41"/>
      <c r="H27" s="3"/>
      <c r="I27" s="3"/>
      <c r="J27" s="3"/>
      <c r="K27" s="3"/>
    </row>
    <row r="28" hidden="1" spans="1:11">
      <c r="A28" s="43"/>
      <c r="B28" s="43" t="s">
        <v>0</v>
      </c>
      <c r="C28" s="44" t="s">
        <v>1</v>
      </c>
      <c r="D28" s="44" t="s">
        <v>35</v>
      </c>
      <c r="E28" s="44" t="s">
        <v>3</v>
      </c>
      <c r="F28" s="41"/>
      <c r="G28" s="41"/>
      <c r="H28" s="3"/>
      <c r="I28" s="3"/>
      <c r="J28" s="3"/>
      <c r="K28" s="3"/>
    </row>
    <row r="29" hidden="1" spans="1:11">
      <c r="A29" s="43" t="s">
        <v>36</v>
      </c>
      <c r="B29" s="43" t="s">
        <v>37</v>
      </c>
      <c r="C29" s="45">
        <f>200*1000</f>
        <v>200000</v>
      </c>
      <c r="D29" s="45">
        <f>D21*1.2</f>
        <v>112.32</v>
      </c>
      <c r="E29" s="45">
        <f t="shared" ref="E29:E31" si="3">D29*C29</f>
        <v>22464000</v>
      </c>
      <c r="F29" s="41"/>
      <c r="G29" s="41"/>
      <c r="H29" s="3"/>
      <c r="I29" s="3"/>
      <c r="J29" s="3"/>
      <c r="K29" s="3"/>
    </row>
    <row r="30" hidden="1" spans="1:11">
      <c r="A30" s="43" t="s">
        <v>39</v>
      </c>
      <c r="B30" s="43" t="s">
        <v>37</v>
      </c>
      <c r="C30" s="45">
        <f>125*1000</f>
        <v>125000</v>
      </c>
      <c r="D30" s="45">
        <f>D22*1.2</f>
        <v>112.32</v>
      </c>
      <c r="E30" s="45">
        <f t="shared" si="3"/>
        <v>14040000</v>
      </c>
      <c r="F30" s="41"/>
      <c r="G30" s="41"/>
      <c r="H30" s="3"/>
      <c r="I30" s="3"/>
      <c r="J30" s="3"/>
      <c r="K30" s="3"/>
    </row>
    <row r="31" hidden="1" spans="1:11">
      <c r="A31" s="43" t="s">
        <v>40</v>
      </c>
      <c r="B31" s="43" t="s">
        <v>41</v>
      </c>
      <c r="C31" s="45">
        <v>750</v>
      </c>
      <c r="D31" s="45">
        <f>9000*1.2</f>
        <v>10800</v>
      </c>
      <c r="E31" s="45">
        <f t="shared" si="3"/>
        <v>8100000</v>
      </c>
      <c r="F31" s="41"/>
      <c r="G31" s="41"/>
      <c r="H31" s="3"/>
      <c r="I31" s="3"/>
      <c r="J31" s="3"/>
      <c r="K31" s="3"/>
    </row>
    <row r="32" hidden="1" spans="1:11">
      <c r="A32" s="43"/>
      <c r="B32" s="43"/>
      <c r="C32" s="45"/>
      <c r="D32" s="45"/>
      <c r="E32" s="45">
        <f>SUM(E29:E31)</f>
        <v>44604000</v>
      </c>
      <c r="F32" s="41"/>
      <c r="G32" s="41"/>
      <c r="H32" s="3"/>
      <c r="I32" s="3"/>
      <c r="J32" s="3"/>
      <c r="K32" s="3"/>
    </row>
    <row r="33" hidden="1" spans="1:11">
      <c r="A33" s="3"/>
      <c r="B33" s="3"/>
      <c r="C33" s="41"/>
      <c r="D33" s="41"/>
      <c r="E33" s="41"/>
      <c r="F33" s="41"/>
      <c r="G33" s="41"/>
      <c r="H33" s="3"/>
      <c r="I33" s="3"/>
      <c r="J33" s="3"/>
      <c r="K33" s="3"/>
    </row>
    <row r="34" hidden="1" spans="1:11">
      <c r="A34" s="3"/>
      <c r="B34" s="3"/>
      <c r="C34" s="41"/>
      <c r="D34" s="41"/>
      <c r="E34" s="41"/>
      <c r="F34" s="41"/>
      <c r="G34" s="41"/>
      <c r="H34" s="3"/>
      <c r="I34" s="3"/>
      <c r="J34" s="3"/>
      <c r="K34" s="3"/>
    </row>
    <row r="35" hidden="1" spans="1:11">
      <c r="A35" s="3"/>
      <c r="B35" s="3"/>
      <c r="C35" s="41"/>
      <c r="D35" s="41"/>
      <c r="E35" s="41"/>
      <c r="F35" s="41"/>
      <c r="G35" s="41"/>
      <c r="H35" s="3"/>
      <c r="I35" s="3"/>
      <c r="J35" s="3"/>
      <c r="K35" s="3"/>
    </row>
    <row r="36" spans="1:11">
      <c r="A36" s="3"/>
      <c r="B36" s="3"/>
      <c r="C36" s="41"/>
      <c r="D36" s="41"/>
      <c r="E36" s="41"/>
      <c r="F36" s="41"/>
      <c r="G36" s="41"/>
      <c r="H36" s="3"/>
      <c r="I36" s="3"/>
      <c r="J36" s="3"/>
      <c r="K36" s="3"/>
    </row>
    <row r="37" spans="1:9">
      <c r="A37" s="3"/>
      <c r="B37" s="48"/>
      <c r="C37" s="49" t="s">
        <v>36</v>
      </c>
      <c r="D37" s="49" t="s">
        <v>39</v>
      </c>
      <c r="E37" s="50" t="s">
        <v>40</v>
      </c>
      <c r="F37" s="50" t="s">
        <v>50</v>
      </c>
      <c r="G37" s="50" t="s">
        <v>45</v>
      </c>
      <c r="H37" s="3"/>
      <c r="I37" s="91"/>
    </row>
    <row r="38" s="39" customFormat="1" ht="15.25" spans="1:9">
      <c r="A38" s="41"/>
      <c r="B38" s="51" t="s">
        <v>0</v>
      </c>
      <c r="C38" s="51" t="s">
        <v>37</v>
      </c>
      <c r="D38" s="51" t="s">
        <v>37</v>
      </c>
      <c r="E38" s="51" t="s">
        <v>41</v>
      </c>
      <c r="F38" s="51" t="s">
        <v>44</v>
      </c>
      <c r="G38" s="51" t="s">
        <v>46</v>
      </c>
      <c r="H38" s="41"/>
      <c r="I38" s="92"/>
    </row>
    <row r="39" spans="1:9">
      <c r="A39" s="52" t="s">
        <v>51</v>
      </c>
      <c r="B39" s="53" t="s">
        <v>1</v>
      </c>
      <c r="C39" s="54">
        <f>200*1000</f>
        <v>200000</v>
      </c>
      <c r="D39" s="54">
        <f>125*1000</f>
        <v>125000</v>
      </c>
      <c r="E39" s="55">
        <v>600</v>
      </c>
      <c r="F39" s="55">
        <v>5000</v>
      </c>
      <c r="G39" s="56">
        <v>700</v>
      </c>
      <c r="H39" s="3"/>
      <c r="I39" s="91"/>
    </row>
    <row r="40" spans="1:9">
      <c r="A40" s="57"/>
      <c r="B40" s="58" t="s">
        <v>35</v>
      </c>
      <c r="C40" s="59">
        <v>60</v>
      </c>
      <c r="D40" s="59">
        <v>60</v>
      </c>
      <c r="E40" s="60">
        <v>6000</v>
      </c>
      <c r="F40" s="60">
        <v>200</v>
      </c>
      <c r="G40" s="61">
        <v>2000</v>
      </c>
      <c r="H40" s="3"/>
      <c r="I40" s="91"/>
    </row>
    <row r="41" s="40" customFormat="1" ht="15.25" spans="1:9">
      <c r="A41" s="62"/>
      <c r="B41" s="63" t="s">
        <v>52</v>
      </c>
      <c r="C41" s="64">
        <f>C39*C40</f>
        <v>12000000</v>
      </c>
      <c r="D41" s="64">
        <f>D39*D40</f>
        <v>7500000</v>
      </c>
      <c r="E41" s="64">
        <f>E39*E40</f>
        <v>3600000</v>
      </c>
      <c r="F41" s="64">
        <f>F39*F40</f>
        <v>1000000</v>
      </c>
      <c r="G41" s="65">
        <f>G39*G40</f>
        <v>1400000</v>
      </c>
      <c r="H41" s="66">
        <f>SUM(C41:G41)</f>
        <v>25500000</v>
      </c>
      <c r="I41" s="93"/>
    </row>
    <row r="42" spans="1:9">
      <c r="A42" s="52" t="s">
        <v>53</v>
      </c>
      <c r="B42" s="67" t="s">
        <v>1</v>
      </c>
      <c r="C42" s="55">
        <f>200*1000</f>
        <v>200000</v>
      </c>
      <c r="D42" s="55">
        <f>125*1000</f>
        <v>125000</v>
      </c>
      <c r="E42" s="55">
        <v>700</v>
      </c>
      <c r="F42" s="68">
        <v>0</v>
      </c>
      <c r="G42" s="69">
        <v>0</v>
      </c>
      <c r="H42" s="66"/>
      <c r="I42" s="91"/>
    </row>
    <row r="43" spans="1:9">
      <c r="A43" s="57"/>
      <c r="B43" s="70" t="s">
        <v>35</v>
      </c>
      <c r="C43" s="60">
        <f>D13</f>
        <v>78</v>
      </c>
      <c r="D43" s="60">
        <f>D14</f>
        <v>78</v>
      </c>
      <c r="E43" s="60">
        <v>9000</v>
      </c>
      <c r="F43" s="71">
        <v>0</v>
      </c>
      <c r="G43" s="72">
        <v>0</v>
      </c>
      <c r="H43" s="66"/>
      <c r="I43" s="91"/>
    </row>
    <row r="44" ht="15.25" spans="1:9">
      <c r="A44" s="73"/>
      <c r="B44" s="63" t="s">
        <v>54</v>
      </c>
      <c r="C44" s="74">
        <f>C43*C42</f>
        <v>15600000</v>
      </c>
      <c r="D44" s="74">
        <f>D43*D42</f>
        <v>9750000</v>
      </c>
      <c r="E44" s="74">
        <f>E43*E42</f>
        <v>6300000</v>
      </c>
      <c r="F44" s="75">
        <v>0</v>
      </c>
      <c r="G44" s="76">
        <v>0</v>
      </c>
      <c r="H44" s="66">
        <f>SUM(C44:G44)</f>
        <v>31650000</v>
      </c>
      <c r="I44" s="91"/>
    </row>
    <row r="45" spans="1:9">
      <c r="A45" s="52" t="s">
        <v>55</v>
      </c>
      <c r="B45" s="67" t="s">
        <v>1</v>
      </c>
      <c r="C45" s="55">
        <f>200*1000</f>
        <v>200000</v>
      </c>
      <c r="D45" s="55">
        <f>125*1000</f>
        <v>125000</v>
      </c>
      <c r="E45" s="55">
        <v>750</v>
      </c>
      <c r="F45" s="68">
        <v>0</v>
      </c>
      <c r="G45" s="69">
        <v>0</v>
      </c>
      <c r="H45" s="66"/>
      <c r="I45" s="91"/>
    </row>
    <row r="46" spans="1:9">
      <c r="A46" s="57"/>
      <c r="B46" s="70" t="s">
        <v>35</v>
      </c>
      <c r="C46" s="60">
        <v>93.6</v>
      </c>
      <c r="D46" s="60">
        <v>93.6</v>
      </c>
      <c r="E46" s="60">
        <v>9000</v>
      </c>
      <c r="F46" s="71">
        <v>0</v>
      </c>
      <c r="G46" s="72">
        <v>0</v>
      </c>
      <c r="H46" s="66"/>
      <c r="I46" s="91"/>
    </row>
    <row r="47" s="40" customFormat="1" ht="15.25" spans="1:9">
      <c r="A47" s="77"/>
      <c r="B47" s="63" t="s">
        <v>54</v>
      </c>
      <c r="C47" s="64">
        <f>C45*C46</f>
        <v>18720000</v>
      </c>
      <c r="D47" s="64">
        <f>D45*D46</f>
        <v>11700000</v>
      </c>
      <c r="E47" s="64">
        <f>E45*E46</f>
        <v>6750000</v>
      </c>
      <c r="F47" s="75">
        <v>0</v>
      </c>
      <c r="G47" s="76">
        <v>0</v>
      </c>
      <c r="H47" s="66">
        <f>SUM(C47:G47)</f>
        <v>37170000</v>
      </c>
      <c r="I47" s="93"/>
    </row>
    <row r="48" spans="1:9">
      <c r="A48" s="78" t="s">
        <v>56</v>
      </c>
      <c r="B48" s="79" t="s">
        <v>1</v>
      </c>
      <c r="C48" s="68">
        <v>200000</v>
      </c>
      <c r="D48" s="68">
        <v>125000</v>
      </c>
      <c r="E48" s="68">
        <v>750</v>
      </c>
      <c r="F48" s="68">
        <v>0</v>
      </c>
      <c r="G48" s="69">
        <v>0</v>
      </c>
      <c r="H48" s="66"/>
      <c r="I48" s="91"/>
    </row>
    <row r="49" spans="1:9">
      <c r="A49" s="80"/>
      <c r="B49" s="81" t="s">
        <v>35</v>
      </c>
      <c r="C49" s="82">
        <v>112.32</v>
      </c>
      <c r="D49" s="82">
        <v>112.32</v>
      </c>
      <c r="E49" s="82">
        <v>10800</v>
      </c>
      <c r="F49" s="71">
        <v>0</v>
      </c>
      <c r="G49" s="72">
        <v>0</v>
      </c>
      <c r="H49" s="66"/>
      <c r="I49" s="91"/>
    </row>
    <row r="50" s="40" customFormat="1" ht="15.25" spans="1:9">
      <c r="A50" s="83"/>
      <c r="B50" s="84" t="s">
        <v>57</v>
      </c>
      <c r="C50" s="64">
        <f>C48*C49</f>
        <v>22464000</v>
      </c>
      <c r="D50" s="64">
        <f>D48*D49</f>
        <v>14040000</v>
      </c>
      <c r="E50" s="64">
        <f>E48*E49</f>
        <v>8100000</v>
      </c>
      <c r="F50" s="75">
        <v>0</v>
      </c>
      <c r="G50" s="76">
        <v>0</v>
      </c>
      <c r="H50" s="66">
        <f>SUM(C50:G50)</f>
        <v>44604000</v>
      </c>
      <c r="I50" s="93"/>
    </row>
    <row r="51" spans="1:9">
      <c r="A51" s="85" t="s">
        <v>58</v>
      </c>
      <c r="B51" s="79" t="s">
        <v>1</v>
      </c>
      <c r="C51" s="68">
        <v>200000</v>
      </c>
      <c r="D51" s="68">
        <v>125000</v>
      </c>
      <c r="E51" s="68">
        <v>750</v>
      </c>
      <c r="F51" s="68">
        <v>0</v>
      </c>
      <c r="G51" s="69">
        <v>0</v>
      </c>
      <c r="H51" s="66"/>
      <c r="I51" s="91"/>
    </row>
    <row r="52" spans="1:9">
      <c r="A52" s="80"/>
      <c r="B52" s="81" t="s">
        <v>35</v>
      </c>
      <c r="C52" s="86">
        <f>C49*1.3</f>
        <v>146.016</v>
      </c>
      <c r="D52" s="86">
        <f>D49*1.3</f>
        <v>146.016</v>
      </c>
      <c r="E52" s="86">
        <f>E49*1.2</f>
        <v>12960</v>
      </c>
      <c r="F52" s="71">
        <v>0</v>
      </c>
      <c r="G52" s="72">
        <v>0</v>
      </c>
      <c r="H52" s="66"/>
      <c r="I52" s="91"/>
    </row>
    <row r="53" s="40" customFormat="1" ht="15.25" spans="1:9">
      <c r="A53" s="83"/>
      <c r="B53" s="87" t="s">
        <v>57</v>
      </c>
      <c r="C53" s="88">
        <f>C51*C52</f>
        <v>29203200</v>
      </c>
      <c r="D53" s="88">
        <f>D51*D52</f>
        <v>18252000</v>
      </c>
      <c r="E53" s="88">
        <f>E51*E52</f>
        <v>9720000</v>
      </c>
      <c r="F53" s="89">
        <v>0</v>
      </c>
      <c r="G53" s="90">
        <v>0</v>
      </c>
      <c r="H53" s="66">
        <f>SUM(C53:G53)</f>
        <v>57175200</v>
      </c>
      <c r="I53" s="93"/>
    </row>
    <row r="54" spans="9:9">
      <c r="I54" s="91"/>
    </row>
    <row r="55" spans="9:9">
      <c r="I55" s="91"/>
    </row>
    <row r="56" spans="1:9">
      <c r="A56" s="39" t="s">
        <v>38</v>
      </c>
      <c r="I56" s="91"/>
    </row>
    <row r="57" spans="1:9">
      <c r="A57" s="39" t="s">
        <v>38</v>
      </c>
      <c r="I57" s="91"/>
    </row>
    <row r="58" spans="1:1">
      <c r="A58" s="39" t="s">
        <v>42</v>
      </c>
    </row>
  </sheetData>
  <mergeCells count="5">
    <mergeCell ref="A39:A41"/>
    <mergeCell ref="A42:A44"/>
    <mergeCell ref="A45:A47"/>
    <mergeCell ref="A48:A50"/>
    <mergeCell ref="A51:A53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E15" sqref="E15"/>
    </sheetView>
  </sheetViews>
  <sheetFormatPr defaultColWidth="11" defaultRowHeight="14.5"/>
  <cols>
    <col min="1" max="2" width="18.9090909090909" style="2" customWidth="1"/>
    <col min="3" max="4" width="15.6363636363636" style="3" customWidth="1"/>
    <col min="5" max="5" width="15.7272727272727" style="3" customWidth="1"/>
    <col min="6" max="7" width="15.6363636363636" style="3" customWidth="1"/>
    <col min="8" max="8" width="15.5454545454545" style="3" customWidth="1"/>
    <col min="9" max="9" width="14.9090909090909" style="3" customWidth="1"/>
    <col min="10" max="16384" width="11" style="3"/>
  </cols>
  <sheetData>
    <row r="1" spans="1:7">
      <c r="A1" s="4"/>
      <c r="B1" s="5" t="s">
        <v>59</v>
      </c>
      <c r="C1" s="5" t="s">
        <v>51</v>
      </c>
      <c r="D1" s="5" t="s">
        <v>53</v>
      </c>
      <c r="E1" s="5" t="s">
        <v>55</v>
      </c>
      <c r="F1" s="5" t="s">
        <v>56</v>
      </c>
      <c r="G1" s="5" t="s">
        <v>58</v>
      </c>
    </row>
    <row r="2" spans="1:7">
      <c r="A2" s="4" t="s">
        <v>22</v>
      </c>
      <c r="B2" s="6">
        <f>'Investissements 1ère année'!F24</f>
        <v>8815000</v>
      </c>
      <c r="C2" s="6">
        <f>B2*1.05</f>
        <v>9255750</v>
      </c>
      <c r="D2" s="6">
        <f>C2*1.05</f>
        <v>9718537.5</v>
      </c>
      <c r="E2" s="6">
        <f>D2*1.05</f>
        <v>10204464.375</v>
      </c>
      <c r="F2" s="6">
        <f>E2*1.05</f>
        <v>10714687.59375</v>
      </c>
      <c r="G2" s="6">
        <f>F2*1.05</f>
        <v>11250421.9734375</v>
      </c>
    </row>
    <row r="3" spans="1:7">
      <c r="A3" s="4" t="s">
        <v>60</v>
      </c>
      <c r="B3" s="7">
        <f>'Investissements 1ère année'!F13</f>
        <v>7962000</v>
      </c>
      <c r="C3" s="7">
        <f>'Investissements 1ère année'!$G$15</f>
        <v>6041000</v>
      </c>
      <c r="D3" s="7">
        <f>'Investissements 1ère année'!$G$15</f>
        <v>6041000</v>
      </c>
      <c r="E3" s="7">
        <f>'Investissements 1ère année'!$G$15</f>
        <v>6041000</v>
      </c>
      <c r="F3" s="7">
        <f>'Investissements 1ère année'!$G$15</f>
        <v>6041000</v>
      </c>
      <c r="G3" s="7">
        <f>'Investissements 1ère année'!$G$15</f>
        <v>6041000</v>
      </c>
    </row>
    <row r="4" spans="1:7">
      <c r="A4" s="4" t="s">
        <v>61</v>
      </c>
      <c r="B4" s="6">
        <v>500000</v>
      </c>
      <c r="C4" s="6">
        <v>500000</v>
      </c>
      <c r="D4" s="6">
        <v>500000</v>
      </c>
      <c r="E4" s="6">
        <v>500000</v>
      </c>
      <c r="F4" s="6">
        <v>500000</v>
      </c>
      <c r="G4" s="6">
        <v>500000</v>
      </c>
    </row>
    <row r="5" s="1" customFormat="1" spans="1:9">
      <c r="A5" s="8" t="s">
        <v>62</v>
      </c>
      <c r="B5" s="9">
        <f t="shared" ref="B5:G5" si="0">SUM(B2:B4)</f>
        <v>17277000</v>
      </c>
      <c r="C5" s="9">
        <f t="shared" si="0"/>
        <v>15796750</v>
      </c>
      <c r="D5" s="9">
        <f t="shared" si="0"/>
        <v>16259537.5</v>
      </c>
      <c r="E5" s="9">
        <f t="shared" si="0"/>
        <v>16745464.375</v>
      </c>
      <c r="F5" s="9">
        <f t="shared" si="0"/>
        <v>17255687.59375</v>
      </c>
      <c r="G5" s="9">
        <f t="shared" si="0"/>
        <v>17791421.9734375</v>
      </c>
      <c r="I5" s="9"/>
    </row>
    <row r="6" spans="1:8">
      <c r="A6" s="10" t="s">
        <v>63</v>
      </c>
      <c r="B6" s="11"/>
      <c r="C6" s="12">
        <f>'Chiffre d''affaire '!H41</f>
        <v>25500000</v>
      </c>
      <c r="D6" s="12">
        <f>'Chiffre d''affaire '!H44</f>
        <v>31650000</v>
      </c>
      <c r="E6" s="12">
        <f>'Chiffre d''affaire '!H47</f>
        <v>37170000</v>
      </c>
      <c r="F6" s="12">
        <f>'Chiffre d''affaire '!H50</f>
        <v>44604000</v>
      </c>
      <c r="G6" s="12">
        <f>'Chiffre d''affaire '!H53</f>
        <v>57175200</v>
      </c>
      <c r="H6" s="13">
        <f>SUM(C6:G6)</f>
        <v>196099200</v>
      </c>
    </row>
    <row r="7" spans="1:8">
      <c r="A7" s="10" t="s">
        <v>64</v>
      </c>
      <c r="B7" s="14"/>
      <c r="C7" s="15">
        <f>C6-C5</f>
        <v>9703250</v>
      </c>
      <c r="D7" s="15">
        <f>D6-D5</f>
        <v>15390462.5</v>
      </c>
      <c r="E7" s="15">
        <f>E6-E5</f>
        <v>20424535.625</v>
      </c>
      <c r="F7" s="15">
        <f>F6-F5</f>
        <v>27348312.40625</v>
      </c>
      <c r="G7" s="15">
        <f>G6-G5</f>
        <v>39383778.0265625</v>
      </c>
      <c r="H7" s="13">
        <f>SUM(C7:G7)</f>
        <v>112250338.557812</v>
      </c>
    </row>
    <row r="8" spans="3:7">
      <c r="C8" s="16">
        <f>C7/$B$12</f>
        <v>0.153345607408695</v>
      </c>
      <c r="D8" s="16">
        <f>D7/$B$12</f>
        <v>0.243223643661994</v>
      </c>
      <c r="E8" s="16">
        <f>E7/$B$12</f>
        <v>0.322779771876037</v>
      </c>
      <c r="F8" s="16">
        <f>F7/$B$12</f>
        <v>0.432199889474059</v>
      </c>
      <c r="G8" s="16">
        <f>G7/$B$12</f>
        <v>0.622402737591265</v>
      </c>
    </row>
    <row r="9" hidden="1" spans="3:7">
      <c r="C9" s="17">
        <f>C7/$B$12</f>
        <v>0.153345607408695</v>
      </c>
      <c r="D9" s="17">
        <f>D7/$B$12</f>
        <v>0.243223643661994</v>
      </c>
      <c r="E9" s="17">
        <f>E7/$B$12</f>
        <v>0.322779771876037</v>
      </c>
      <c r="F9" s="17">
        <f>F7/$B$12</f>
        <v>0.432199889474059</v>
      </c>
      <c r="G9" s="17">
        <f>G7/$B$12</f>
        <v>0.622402737591265</v>
      </c>
    </row>
    <row r="10" hidden="1" spans="3:7">
      <c r="C10" s="18"/>
      <c r="D10" s="18"/>
      <c r="E10" s="18"/>
      <c r="F10" s="18"/>
      <c r="G10" s="18"/>
    </row>
    <row r="11" spans="1:2">
      <c r="A11" s="4" t="s">
        <v>65</v>
      </c>
      <c r="B11" s="5" t="s">
        <v>66</v>
      </c>
    </row>
    <row r="12" ht="29" spans="1:8">
      <c r="A12" s="19" t="s">
        <v>67</v>
      </c>
      <c r="B12" s="20">
        <f>'Investissements 1ère année'!F26</f>
        <v>63277000</v>
      </c>
      <c r="D12" s="21"/>
      <c r="F12" s="22"/>
      <c r="H12" s="13"/>
    </row>
    <row r="13" hidden="1" spans="1:4">
      <c r="A13" s="23" t="s">
        <v>68</v>
      </c>
      <c r="B13" s="24">
        <v>0.2289</v>
      </c>
      <c r="D13" s="25">
        <f>+B13/$E$19</f>
        <v>0.0009156</v>
      </c>
    </row>
    <row r="14" ht="29" hidden="1" customHeight="1" spans="1:4">
      <c r="A14" s="23" t="s">
        <v>69</v>
      </c>
      <c r="B14" s="26"/>
      <c r="D14" s="25">
        <f>+B14/$E$19</f>
        <v>0</v>
      </c>
    </row>
    <row r="15" spans="1:4">
      <c r="A15" s="4" t="s">
        <v>70</v>
      </c>
      <c r="B15" s="27">
        <v>0.05</v>
      </c>
      <c r="D15" s="25"/>
    </row>
    <row r="16" spans="1:4">
      <c r="A16" s="4" t="s">
        <v>69</v>
      </c>
      <c r="B16" s="28">
        <f>NPV(B15,E26:E30)+E25</f>
        <v>35117509.6130091</v>
      </c>
      <c r="D16" s="25"/>
    </row>
    <row r="17" spans="1:2">
      <c r="A17" s="4" t="s">
        <v>71</v>
      </c>
      <c r="B17" s="29">
        <f>IRR(E25:E30)</f>
        <v>0.192956317306129</v>
      </c>
    </row>
    <row r="18" spans="1:2">
      <c r="A18" s="4" t="s">
        <v>72</v>
      </c>
      <c r="B18" s="30">
        <f>1+(B16/B12)</f>
        <v>1.5549806345593</v>
      </c>
    </row>
    <row r="19" hidden="1" spans="4:5">
      <c r="D19" s="31">
        <v>1</v>
      </c>
      <c r="E19" s="32">
        <v>250</v>
      </c>
    </row>
    <row r="20" hidden="1" spans="4:4">
      <c r="D20" s="21"/>
    </row>
    <row r="21" hidden="1"/>
    <row r="22" hidden="1"/>
    <row r="23" hidden="1" spans="1:1">
      <c r="A23" s="2" t="s">
        <v>73</v>
      </c>
    </row>
    <row r="24" hidden="1" spans="1:5">
      <c r="A24" s="4" t="s">
        <v>74</v>
      </c>
      <c r="B24" s="4" t="s">
        <v>75</v>
      </c>
      <c r="C24" s="33" t="s">
        <v>62</v>
      </c>
      <c r="D24" s="34" t="s">
        <v>63</v>
      </c>
      <c r="E24" s="34" t="s">
        <v>64</v>
      </c>
    </row>
    <row r="25" hidden="1" spans="1:5">
      <c r="A25" s="4">
        <v>0</v>
      </c>
      <c r="B25" s="35">
        <f>'Investissements 1ère année'!F2</f>
        <v>46500000</v>
      </c>
      <c r="C25" s="9">
        <v>17277000</v>
      </c>
      <c r="D25" s="36">
        <v>0</v>
      </c>
      <c r="E25" s="36">
        <f t="shared" ref="E25:E30" si="1">+D25-C25-B25</f>
        <v>-63777000</v>
      </c>
    </row>
    <row r="26" hidden="1" spans="1:5">
      <c r="A26" s="4">
        <v>1</v>
      </c>
      <c r="B26" s="35"/>
      <c r="C26" s="9">
        <v>15796750</v>
      </c>
      <c r="D26" s="37">
        <v>25500000</v>
      </c>
      <c r="E26" s="36">
        <f t="shared" si="1"/>
        <v>9703250</v>
      </c>
    </row>
    <row r="27" hidden="1" spans="1:5">
      <c r="A27" s="4">
        <v>2</v>
      </c>
      <c r="B27" s="35"/>
      <c r="C27" s="9">
        <v>16259537.5</v>
      </c>
      <c r="D27" s="37">
        <v>31650000</v>
      </c>
      <c r="E27" s="36">
        <f t="shared" si="1"/>
        <v>15390462.5</v>
      </c>
    </row>
    <row r="28" hidden="1" spans="1:5">
      <c r="A28" s="4">
        <v>3</v>
      </c>
      <c r="B28" s="35"/>
      <c r="C28" s="9">
        <v>16745464.375</v>
      </c>
      <c r="D28" s="37">
        <v>39705000</v>
      </c>
      <c r="E28" s="36">
        <f t="shared" si="1"/>
        <v>22959535.625</v>
      </c>
    </row>
    <row r="29" hidden="1" spans="1:5">
      <c r="A29" s="4">
        <v>4</v>
      </c>
      <c r="B29" s="35"/>
      <c r="C29" s="9">
        <v>17255687.59375</v>
      </c>
      <c r="D29" s="37">
        <v>47646000</v>
      </c>
      <c r="E29" s="36">
        <f t="shared" si="1"/>
        <v>30390312.40625</v>
      </c>
    </row>
    <row r="30" hidden="1" spans="1:5">
      <c r="A30" s="4">
        <v>5</v>
      </c>
      <c r="B30" s="35"/>
      <c r="C30" s="9">
        <v>17791421.9734375</v>
      </c>
      <c r="D30" s="37">
        <v>57175200</v>
      </c>
      <c r="E30" s="36">
        <f t="shared" si="1"/>
        <v>39383778.0265625</v>
      </c>
    </row>
    <row r="31" hidden="1"/>
    <row r="32" hidden="1"/>
    <row r="33" spans="1:2">
      <c r="A33" s="4" t="s">
        <v>76</v>
      </c>
      <c r="B33" s="38">
        <f>((H7-B12)/B12)*100%</f>
        <v>0.77395165001205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Investissements 1ère année</vt:lpstr>
      <vt:lpstr>Chiffre d'affaire </vt:lpstr>
      <vt:lpstr>Amortissements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dxd</dc:creator>
  <cp:lastModifiedBy>dxd</cp:lastModifiedBy>
  <dcterms:created xsi:type="dcterms:W3CDTF">2025-01-09T16:15:00Z</dcterms:created>
  <dcterms:modified xsi:type="dcterms:W3CDTF">2025-01-16T14:55:26Z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DF7C4913115B487F84C88BD60D50A2A6_13</vt:lpwstr>
  </property>
  <property fmtid="{D5CDD505-2E9C-101B-9397-08002B2CF9AE}" pid="3" name="KSOProductBuildVer">
    <vt:lpwstr>1036-12.2.0.19805</vt:lpwstr>
  </property>
</Properties>
</file>