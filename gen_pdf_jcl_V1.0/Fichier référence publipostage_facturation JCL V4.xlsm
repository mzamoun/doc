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gen_pdf_jcl_V1.0\"/>
    </mc:Choice>
  </mc:AlternateContent>
  <xr:revisionPtr revIDLastSave="0" documentId="13_ncr:20001_{07BB3C6F-EEE5-4948-8B1E-87252B0C761D}" xr6:coauthVersionLast="47" xr6:coauthVersionMax="47" xr10:uidLastSave="{00000000-0000-0000-0000-000000000000}"/>
  <bookViews>
    <workbookView xWindow="-2025" yWindow="-15375" windowWidth="18300" windowHeight="7890" tabRatio="500" xr2:uid="{00000000-000D-0000-FFFF-FFFF00000000}"/>
  </bookViews>
  <sheets>
    <sheet name="Params" sheetId="1" r:id="rId1"/>
    <sheet name="Data" sheetId="2" r:id="rId2"/>
  </sheets>
  <functionGroups builtInGroupCount="19"/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36" i="2" l="1"/>
  <c r="J36" i="2" s="1"/>
  <c r="I36" i="2"/>
  <c r="K35" i="2"/>
  <c r="J35" i="2" s="1"/>
  <c r="I35" i="2"/>
  <c r="K34" i="2"/>
  <c r="J34" i="2" s="1"/>
  <c r="I34" i="2"/>
  <c r="K33" i="2"/>
  <c r="J33" i="2" s="1"/>
  <c r="I33" i="2"/>
  <c r="K32" i="2"/>
  <c r="J32" i="2" s="1"/>
  <c r="I32" i="2"/>
  <c r="K31" i="2"/>
  <c r="J31" i="2" s="1"/>
  <c r="I31" i="2"/>
  <c r="K30" i="2"/>
  <c r="J30" i="2" s="1"/>
  <c r="I30" i="2"/>
  <c r="K29" i="2"/>
  <c r="J29" i="2" s="1"/>
  <c r="I29" i="2"/>
  <c r="K28" i="2"/>
  <c r="J28" i="2" s="1"/>
  <c r="I28" i="2"/>
  <c r="K27" i="2"/>
  <c r="J27" i="2" s="1"/>
  <c r="I26" i="2"/>
  <c r="I25" i="2"/>
  <c r="I24" i="2"/>
  <c r="K24" i="2" s="1"/>
  <c r="I23" i="2"/>
  <c r="I22" i="2"/>
  <c r="K22" i="2" s="1"/>
  <c r="I21" i="2"/>
  <c r="I20" i="2"/>
  <c r="K20" i="2" s="1"/>
  <c r="I19" i="2"/>
  <c r="I18" i="2"/>
  <c r="K18" i="2" s="1"/>
  <c r="I17" i="2"/>
  <c r="I16" i="2"/>
  <c r="K16" i="2" s="1"/>
  <c r="I15" i="2"/>
  <c r="I14" i="2"/>
  <c r="I13" i="2"/>
  <c r="K13" i="2" s="1"/>
  <c r="I12" i="2"/>
  <c r="I11" i="2"/>
  <c r="K11" i="2" s="1"/>
  <c r="I10" i="2"/>
  <c r="K9" i="2"/>
  <c r="J9" i="2"/>
  <c r="I8" i="2"/>
  <c r="K8" i="2" s="1"/>
  <c r="I7" i="2"/>
  <c r="K7" i="2" s="1"/>
  <c r="I6" i="2"/>
  <c r="K6" i="2" s="1"/>
  <c r="I5" i="2"/>
  <c r="K5" i="2" s="1"/>
  <c r="I4" i="2"/>
  <c r="K4" i="2" s="1"/>
  <c r="I3" i="2"/>
  <c r="K3" i="2" s="1"/>
  <c r="F3" i="2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F35" i="2" s="1"/>
  <c r="F36" i="2" s="1"/>
  <c r="I2" i="2"/>
  <c r="K2" i="2" s="1"/>
  <c r="J17" i="2" l="1"/>
  <c r="J23" i="2"/>
  <c r="J25" i="2"/>
  <c r="J15" i="2"/>
  <c r="J19" i="2"/>
  <c r="J11" i="2"/>
  <c r="J13" i="2"/>
  <c r="J16" i="2"/>
  <c r="J18" i="2"/>
  <c r="J20" i="2"/>
  <c r="J22" i="2"/>
  <c r="J24" i="2"/>
  <c r="J2" i="2"/>
  <c r="K10" i="2"/>
  <c r="J10" i="2" s="1"/>
  <c r="K12" i="2"/>
  <c r="J12" i="2" s="1"/>
  <c r="K14" i="2"/>
  <c r="J14" i="2" s="1"/>
  <c r="K15" i="2"/>
  <c r="K17" i="2"/>
  <c r="K19" i="2"/>
  <c r="K21" i="2"/>
  <c r="J21" i="2" s="1"/>
  <c r="K23" i="2"/>
  <c r="K25" i="2"/>
  <c r="K26" i="2"/>
  <c r="J26" i="2" s="1"/>
  <c r="J3" i="2"/>
  <c r="J4" i="2"/>
  <c r="J5" i="2"/>
  <c r="J6" i="2"/>
  <c r="J7" i="2"/>
  <c r="J8" i="2"/>
</calcChain>
</file>

<file path=xl/sharedStrings.xml><?xml version="1.0" encoding="utf-8"?>
<sst xmlns="http://schemas.openxmlformats.org/spreadsheetml/2006/main" count="630" uniqueCount="239">
  <si>
    <t>TEMPLATE_WORD</t>
  </si>
  <si>
    <t>D:\gen_pdf_jcl_V1.0\Fichier de facturation JCL V2.docx</t>
  </si>
  <si>
    <t>DIR_PDF</t>
  </si>
  <si>
    <t>Ligne début</t>
  </si>
  <si>
    <t>Ligne fin</t>
  </si>
  <si>
    <t>Mois</t>
  </si>
  <si>
    <t xml:space="preserve">Date </t>
  </si>
  <si>
    <t>Consultant</t>
  </si>
  <si>
    <t>Mission</t>
  </si>
  <si>
    <t>Init.</t>
  </si>
  <si>
    <t>Facture</t>
  </si>
  <si>
    <t>OK</t>
  </si>
  <si>
    <t>Date rglt</t>
  </si>
  <si>
    <t>HT</t>
  </si>
  <si>
    <t>TTC</t>
  </si>
  <si>
    <t>TVA</t>
  </si>
  <si>
    <t>PO</t>
  </si>
  <si>
    <t>RFA</t>
  </si>
  <si>
    <t>SPOC</t>
  </si>
  <si>
    <t>Ref four.</t>
  </si>
  <si>
    <t>CRA</t>
  </si>
  <si>
    <t>Unit</t>
  </si>
  <si>
    <t>Qté</t>
  </si>
  <si>
    <t>Rate</t>
  </si>
  <si>
    <t xml:space="preserve">Taux </t>
  </si>
  <si>
    <t xml:space="preserve">Envoi </t>
  </si>
  <si>
    <t>Action</t>
  </si>
  <si>
    <t>Infos</t>
  </si>
  <si>
    <t>Bill to Société</t>
  </si>
  <si>
    <t>Bill to Adresse</t>
  </si>
  <si>
    <t>Bill to Ville</t>
  </si>
  <si>
    <t xml:space="preserve">Bill to id </t>
  </si>
  <si>
    <t>Ship to Société</t>
  </si>
  <si>
    <t>Ship to Adresse</t>
  </si>
  <si>
    <t>Ship to Ville</t>
  </si>
  <si>
    <t>Ship to id</t>
  </si>
  <si>
    <t>Septembre</t>
  </si>
  <si>
    <t>Consultant 1</t>
  </si>
  <si>
    <t>Assistance Direction Projet SAP Core Model Fromage</t>
  </si>
  <si>
    <t>CLE</t>
  </si>
  <si>
    <t>out</t>
  </si>
  <si>
    <t>Christophe Lefebvre 1</t>
  </si>
  <si>
    <t>DAY</t>
  </si>
  <si>
    <t xml:space="preserve">Compta frs </t>
  </si>
  <si>
    <t>Envoi le2/10/23</t>
  </si>
  <si>
    <t>SCHNEIDER ELECTRIC INDUSTRIES SAS</t>
  </si>
  <si>
    <t>35 rue Joseph Monier</t>
  </si>
  <si>
    <t>92500 Rueil-Malmaison, France</t>
  </si>
  <si>
    <t>FR04 954 503 439</t>
  </si>
  <si>
    <t>9 rue Henri Ste Claire Deville</t>
  </si>
  <si>
    <t>FRRUE0192G</t>
  </si>
  <si>
    <t>Consultant 2</t>
  </si>
  <si>
    <t>Responsable intégration et Delivery DSI</t>
  </si>
  <si>
    <t>SMO</t>
  </si>
  <si>
    <t>Christophe Lefebvre 2</t>
  </si>
  <si>
    <t>Consultant 3</t>
  </si>
  <si>
    <t>Assistance Projet de construction du core model SAP Groupe</t>
  </si>
  <si>
    <t>YRT</t>
  </si>
  <si>
    <t>Christophe Lefebvre 3</t>
  </si>
  <si>
    <t>Consultant 4</t>
  </si>
  <si>
    <t>Assistance maitrise d'ouvrage SAP</t>
  </si>
  <si>
    <t>ABR</t>
  </si>
  <si>
    <t>Christophe Lefebvre 4</t>
  </si>
  <si>
    <t>Consultant 5</t>
  </si>
  <si>
    <t xml:space="preserve"> Assistance maitrise d'ouvrage SAP</t>
  </si>
  <si>
    <t>MCI</t>
  </si>
  <si>
    <t>Christophe Lefebvre 5</t>
  </si>
  <si>
    <t>Consultant 6</t>
  </si>
  <si>
    <t xml:space="preserve"> Assistance Projet - BI SAP HanaI</t>
  </si>
  <si>
    <t>MOI</t>
  </si>
  <si>
    <t>Christophe Lefebvre 6</t>
  </si>
  <si>
    <t>Consultant 7</t>
  </si>
  <si>
    <t>NCA</t>
  </si>
  <si>
    <t>Christophe Lefebvre 7</t>
  </si>
  <si>
    <t>Consultant 8</t>
  </si>
  <si>
    <t>Christophe Lefebvre 8</t>
  </si>
  <si>
    <t>Consultant 9</t>
  </si>
  <si>
    <t>Project Owner/Manager</t>
  </si>
  <si>
    <t>ASO</t>
  </si>
  <si>
    <t>8000946722 </t>
  </si>
  <si>
    <t>p</t>
  </si>
  <si>
    <t>Christophe Lefebvre 9</t>
  </si>
  <si>
    <t>Consultant 10</t>
  </si>
  <si>
    <t>DCR DSC Expertise on Complex offers</t>
  </si>
  <si>
    <t>AMI</t>
  </si>
  <si>
    <t>Christophe Lefebvre 10</t>
  </si>
  <si>
    <t>MONTH</t>
  </si>
  <si>
    <t>ZI Carros , 1ère Avenue 2621 m</t>
  </si>
  <si>
    <t>CARROS, Alpes Maritimes 06516</t>
  </si>
  <si>
    <t>FRCAR06061</t>
  </si>
  <si>
    <t>Consultant 11</t>
  </si>
  <si>
    <t>Administration Hyperion Planning</t>
  </si>
  <si>
    <t>AZI</t>
  </si>
  <si>
    <t>Christophe Lefebvre 11</t>
  </si>
  <si>
    <t>PO= 18 et CRA = 19. Facturer 18 jours. 3 jours à rattraper en Q4 2023</t>
  </si>
  <si>
    <t>FRRUE0192A</t>
  </si>
  <si>
    <t>Consultant 12</t>
  </si>
  <si>
    <t>Data Expert</t>
  </si>
  <si>
    <t>ALS</t>
  </si>
  <si>
    <t>Christophe Lefebvre 12</t>
  </si>
  <si>
    <t>PO = 21 &amp; CRA = 10 - Invoice 11 days (1 for August)</t>
  </si>
  <si>
    <t>Consultant 13</t>
  </si>
  <si>
    <t>Architect DevOps</t>
  </si>
  <si>
    <t>ADI</t>
  </si>
  <si>
    <t>8000902884 </t>
  </si>
  <si>
    <t>Christophe Lefebvre 13</t>
  </si>
  <si>
    <t>160 avenue des Martyrs</t>
  </si>
  <si>
    <t>GRENOBLE, 38000</t>
  </si>
  <si>
    <t>FRGRE02INT</t>
  </si>
  <si>
    <t>Consultant 14</t>
  </si>
  <si>
    <t>Professional Services</t>
  </si>
  <si>
    <t>AAK</t>
  </si>
  <si>
    <t>Christophe Lefebvre 14</t>
  </si>
  <si>
    <t>Charles Darwin</t>
  </si>
  <si>
    <t>Sevilla, 41 41902, Spain</t>
  </si>
  <si>
    <t>ESSEV00003</t>
  </si>
  <si>
    <t>Consultant 15</t>
  </si>
  <si>
    <t>Designer mécanique RMX</t>
  </si>
  <si>
    <t>ATI</t>
  </si>
  <si>
    <t xml:space="preserve">8000920023-3 </t>
  </si>
  <si>
    <t>Christophe Lefebvre 15</t>
  </si>
  <si>
    <t>28 Rue Henri Tarze</t>
  </si>
  <si>
    <t>GRENOBLE, Isere 38000</t>
  </si>
  <si>
    <t>FRGRE02TEC</t>
  </si>
  <si>
    <t>Consultant 16</t>
  </si>
  <si>
    <t>Méthode Industrialisation Senior</t>
  </si>
  <si>
    <t>APV</t>
  </si>
  <si>
    <t>8000919175-3</t>
  </si>
  <si>
    <t>Christophe Lefebvre 16</t>
  </si>
  <si>
    <t>SCHNEIDER ELECTRIC France</t>
  </si>
  <si>
    <t>FR 93 421 106 709</t>
  </si>
  <si>
    <t>ZI du Fontanil</t>
  </si>
  <si>
    <t>FONTANIL CORNILLON, Isere 38120</t>
  </si>
  <si>
    <t>FRFON02LLL</t>
  </si>
  <si>
    <t>Consultant 17</t>
  </si>
  <si>
    <t>Project Manager</t>
  </si>
  <si>
    <t>AKD</t>
  </si>
  <si>
    <t>8000934841 </t>
  </si>
  <si>
    <t>Christophe Lefebvre 17</t>
  </si>
  <si>
    <t>Bac de Roda, EDIFICIO A</t>
  </si>
  <si>
    <t>Barcelona, 08 08019, Spain</t>
  </si>
  <si>
    <t>ESBAR10001</t>
  </si>
  <si>
    <t>Consultant 18</t>
  </si>
  <si>
    <t>Analytical Data Layer</t>
  </si>
  <si>
    <t>AUA</t>
  </si>
  <si>
    <t>8000912004 </t>
  </si>
  <si>
    <t>Christophe Lefebvre 18</t>
  </si>
  <si>
    <t>Consultant 19</t>
  </si>
  <si>
    <t>Project Manager Big Data Engineer </t>
  </si>
  <si>
    <t>AND</t>
  </si>
  <si>
    <t>8000939960-3 </t>
  </si>
  <si>
    <t>Christophe Lefebvre 19</t>
  </si>
  <si>
    <t>Consultant 20</t>
  </si>
  <si>
    <t>Pilote Plannification</t>
  </si>
  <si>
    <t>ACA</t>
  </si>
  <si>
    <t>Christophe Lefebvre 20</t>
  </si>
  <si>
    <t>SCHNEIDER ELECTRIC IT France</t>
  </si>
  <si>
    <t>140 avenue Jean Kuntzmann- Immovallée Montbonnot</t>
  </si>
  <si>
    <t>38330 Montbonnot Saint-Martin, France</t>
  </si>
  <si>
    <t>FR73 444 643 720</t>
  </si>
  <si>
    <t>SCHNEIDER ELECTRIC IT France ZIRST</t>
  </si>
  <si>
    <t>140 avenue Jean Kuntzmann</t>
  </si>
  <si>
    <t>Montbonnot Saint-Martin, Isere 38330</t>
  </si>
  <si>
    <t>FRMON0238X</t>
  </si>
  <si>
    <t>Consultant 21</t>
  </si>
  <si>
    <t>ALE</t>
  </si>
  <si>
    <t>8000973323 </t>
  </si>
  <si>
    <t>Christophe Lefebvre 21</t>
  </si>
  <si>
    <t>Consultant 22</t>
  </si>
  <si>
    <t>Smart Finance</t>
  </si>
  <si>
    <t>AIS</t>
  </si>
  <si>
    <t>8000721738 </t>
  </si>
  <si>
    <t>Christophe Lefebvre 22</t>
  </si>
  <si>
    <t>Consultant 23</t>
  </si>
  <si>
    <t>AssTech</t>
  </si>
  <si>
    <t>AJA</t>
  </si>
  <si>
    <t>Christophe Lefebvre 23</t>
  </si>
  <si>
    <t>Consultant 24</t>
  </si>
  <si>
    <t>SDH Footprint Reduction Program</t>
  </si>
  <si>
    <t>ADS</t>
  </si>
  <si>
    <t>8000921568 </t>
  </si>
  <si>
    <t>Christophe Lefebvre 24</t>
  </si>
  <si>
    <t>Consultant 25</t>
  </si>
  <si>
    <t>CTR_009585</t>
  </si>
  <si>
    <t>BFN</t>
  </si>
  <si>
    <t>8000933252-2 </t>
  </si>
  <si>
    <t>Christophe Lefebvre 25</t>
  </si>
  <si>
    <t>Consultant 26</t>
  </si>
  <si>
    <t>Business Trip to Boston - September 2023</t>
  </si>
  <si>
    <t>Christophe Lefebvre 26</t>
  </si>
  <si>
    <t>Consultant 27</t>
  </si>
  <si>
    <t>BFI</t>
  </si>
  <si>
    <t>Christophe Lefebvre 27</t>
  </si>
  <si>
    <t>Consultant 28</t>
  </si>
  <si>
    <t>IntelDS SQL manager</t>
  </si>
  <si>
    <t>BRN</t>
  </si>
  <si>
    <t>8000921573 </t>
  </si>
  <si>
    <t>Christophe Lefebvre 28</t>
  </si>
  <si>
    <t>Consultant 29</t>
  </si>
  <si>
    <t>CTR_013151</t>
  </si>
  <si>
    <t>CMA</t>
  </si>
  <si>
    <t>8001000427 </t>
  </si>
  <si>
    <t>P</t>
  </si>
  <si>
    <t>Christophe Lefebvre 29</t>
  </si>
  <si>
    <t>Consultant 30</t>
  </si>
  <si>
    <t>SAP Consultant Pricing &amp; Quotation</t>
  </si>
  <si>
    <t>CLU</t>
  </si>
  <si>
    <t>Christophe Lefebvre 30</t>
  </si>
  <si>
    <t>Consultant 31</t>
  </si>
  <si>
    <t>Intercompany Recharge Simplification</t>
  </si>
  <si>
    <t>CAE</t>
  </si>
  <si>
    <t xml:space="preserve">8000930578-2 </t>
  </si>
  <si>
    <t>Christophe Lefebvre 31</t>
  </si>
  <si>
    <t>Consultant 32</t>
  </si>
  <si>
    <t>CTR_010242</t>
  </si>
  <si>
    <t>CEU</t>
  </si>
  <si>
    <t>Christophe Lefebvre 32</t>
  </si>
  <si>
    <t>Consultant 34</t>
  </si>
  <si>
    <t>Cloud Technical Leader</t>
  </si>
  <si>
    <t>CQD</t>
  </si>
  <si>
    <t>Christophe Lefebvre 34</t>
  </si>
  <si>
    <t>Consultant 35</t>
  </si>
  <si>
    <t>Senior Cloud Data Engineer</t>
  </si>
  <si>
    <t>DSN</t>
  </si>
  <si>
    <t>8000971774-4 </t>
  </si>
  <si>
    <t>Christophe Lefebvre 35</t>
  </si>
  <si>
    <t>Consultant 36</t>
  </si>
  <si>
    <t>CTR_011910</t>
  </si>
  <si>
    <t>DRM</t>
  </si>
  <si>
    <t>8000944572 </t>
  </si>
  <si>
    <t>Christophe Lefebvre 36</t>
  </si>
  <si>
    <t xml:space="preserve"> </t>
  </si>
  <si>
    <t>D:\gen_pdf_jcl_V1.0\Factures</t>
  </si>
  <si>
    <t>Last Execute :</t>
  </si>
  <si>
    <t>Nb Lignes</t>
  </si>
  <si>
    <t>Date Début</t>
  </si>
  <si>
    <t xml:space="preserve">Date Fin </t>
  </si>
  <si>
    <t>Time Diff en sec</t>
  </si>
  <si>
    <t>Time Diff en 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</si>
</sst>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\-??_-;_-@_-"/>
    <numFmt numFmtId="165" formatCode="#,##0.00&quot; €&quot;"/>
    <numFmt numFmtId="167" formatCode="dd/mm/yyyy\ hh:mm:ss"/>
  </numFmts>
  <fonts count="13" x14ac:knownFonts="1">
    <font>
      <sz val="11"/>
      <color rgb="FF000000"/>
      <name val="Calibri"/>
      <family val="2"/>
      <charset val="1"/>
    </font>
    <font>
      <sz val="9"/>
      <color rgb="FF000000"/>
      <name val="Calibri"/>
      <family val="2"/>
      <charset val="1"/>
    </font>
    <font>
      <b/>
      <sz val="9"/>
      <color rgb="FF000000"/>
      <name val="Calibri"/>
      <family val="2"/>
      <charset val="1"/>
    </font>
    <font>
      <b/>
      <sz val="9"/>
      <name val="Calibri"/>
      <family val="2"/>
      <charset val="1"/>
    </font>
    <font>
      <sz val="9"/>
      <name val="Calibri"/>
      <family val="2"/>
      <charset val="1"/>
    </font>
    <font>
      <i/>
      <sz val="9"/>
      <name val="Calibri"/>
      <family val="2"/>
      <charset val="1"/>
    </font>
    <font>
      <i/>
      <sz val="9"/>
      <color rgb="FFFF0000"/>
      <name val="Calibri"/>
      <family val="2"/>
      <charset val="1"/>
    </font>
    <font>
      <b/>
      <i/>
      <sz val="9"/>
      <color rgb="FFFF0000"/>
      <name val="Calibri"/>
      <family val="2"/>
      <charset val="1"/>
    </font>
    <font>
      <b/>
      <sz val="9"/>
      <color rgb="FFFF0000"/>
      <name val="Calibri"/>
      <family val="2"/>
      <charset val="1"/>
    </font>
    <font>
      <b/>
      <sz val="11"/>
      <color rgb="FF000000"/>
      <name val="Calibri"/>
      <family val="2"/>
      <charset val="1"/>
    </font>
    <font>
      <sz val="11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B4C7E7"/>
        <bgColor rgb="FFCCCCFF"/>
      </patternFill>
    </fill>
    <fill>
      <patternFill patternType="solid">
        <fgColor rgb="FFFFFFFF"/>
        <bgColor rgb="FFFFFFCC"/>
      </patternFill>
    </fill>
    <fill>
      <patternFill patternType="solid">
        <fgColor rgb="FFFF0000"/>
        <bgColor rgb="FF993300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164" fontId="11" fillId="0" borderId="0" applyBorder="0" applyProtection="0"/>
  </cellStyleXfs>
  <cellXfs count="6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2" fontId="3" fillId="2" borderId="1" xfId="1" applyNumberFormat="1" applyFont="1" applyFill="1" applyBorder="1" applyAlignment="1" applyProtection="1">
      <alignment horizontal="center" vertical="center"/>
      <protection locked="0"/>
    </xf>
    <xf numFmtId="14" fontId="2" fillId="3" borderId="1" xfId="0" applyNumberFormat="1" applyFont="1" applyFill="1" applyBorder="1" applyAlignment="1" applyProtection="1">
      <alignment horizontal="center" vertical="center"/>
      <protection locked="0"/>
    </xf>
    <xf numFmtId="165" fontId="1" fillId="2" borderId="1" xfId="0" applyNumberFormat="1" applyFont="1" applyFill="1" applyBorder="1" applyAlignment="1" applyProtection="1">
      <alignment horizontal="center"/>
      <protection locked="0"/>
    </xf>
    <xf numFmtId="2" fontId="3" fillId="3" borderId="1" xfId="1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/>
      <protection locked="0"/>
    </xf>
    <xf numFmtId="0" fontId="3" fillId="3" borderId="2" xfId="0" applyFont="1" applyFill="1" applyBorder="1" applyAlignment="1" applyProtection="1">
      <alignment horizontal="center"/>
      <protection locked="0"/>
    </xf>
    <xf numFmtId="0" fontId="4" fillId="2" borderId="1" xfId="0" applyFont="1" applyFill="1" applyBorder="1" applyProtection="1">
      <protection locked="0"/>
    </xf>
    <xf numFmtId="14" fontId="4" fillId="2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1" fontId="4" fillId="2" borderId="1" xfId="0" applyNumberFormat="1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 applyProtection="1">
      <alignment horizontal="center"/>
      <protection locked="0"/>
    </xf>
    <xf numFmtId="14" fontId="4" fillId="4" borderId="1" xfId="0" applyNumberFormat="1" applyFont="1" applyFill="1" applyBorder="1" applyAlignment="1" applyProtection="1">
      <alignment horizontal="center" vertical="center"/>
      <protection locked="0"/>
    </xf>
    <xf numFmtId="165" fontId="4" fillId="2" borderId="1" xfId="0" applyNumberFormat="1" applyFont="1" applyFill="1" applyBorder="1" applyProtection="1">
      <protection locked="0"/>
    </xf>
    <xf numFmtId="0" fontId="1" fillId="2" borderId="1" xfId="0" applyFont="1" applyFill="1" applyBorder="1" applyAlignment="1">
      <alignment horizontal="center"/>
    </xf>
    <xf numFmtId="2" fontId="4" fillId="4" borderId="1" xfId="0" applyNumberFormat="1" applyFont="1" applyFill="1" applyBorder="1" applyAlignment="1" applyProtection="1">
      <alignment horizontal="center"/>
      <protection locked="0"/>
    </xf>
    <xf numFmtId="2" fontId="4" fillId="2" borderId="1" xfId="0" applyNumberFormat="1" applyFont="1" applyFill="1" applyBorder="1" applyAlignment="1" applyProtection="1">
      <alignment horizontal="center"/>
      <protection locked="0"/>
    </xf>
    <xf numFmtId="165" fontId="4" fillId="4" borderId="1" xfId="0" applyNumberFormat="1" applyFont="1" applyFill="1" applyBorder="1" applyProtection="1">
      <protection locked="0"/>
    </xf>
    <xf numFmtId="0" fontId="5" fillId="4" borderId="2" xfId="0" applyFont="1" applyFill="1" applyBorder="1" applyProtection="1">
      <protection locked="0"/>
    </xf>
    <xf numFmtId="0" fontId="1" fillId="2" borderId="1" xfId="0" applyFont="1" applyFill="1" applyBorder="1"/>
    <xf numFmtId="0" fontId="4" fillId="0" borderId="0" xfId="0" applyFont="1" applyProtection="1">
      <protection locked="0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>
      <alignment horizontal="center" wrapText="1"/>
    </xf>
    <xf numFmtId="2" fontId="4" fillId="4" borderId="1" xfId="1" applyNumberFormat="1" applyFont="1" applyFill="1" applyBorder="1" applyAlignment="1" applyProtection="1">
      <alignment horizontal="center" vertical="center"/>
      <protection locked="0"/>
    </xf>
    <xf numFmtId="2" fontId="4" fillId="2" borderId="1" xfId="1" applyNumberFormat="1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/>
      <protection locked="0"/>
    </xf>
    <xf numFmtId="2" fontId="5" fillId="4" borderId="2" xfId="0" applyNumberFormat="1" applyFont="1" applyFill="1" applyBorder="1"/>
    <xf numFmtId="0" fontId="6" fillId="0" borderId="0" xfId="0" applyFont="1" applyProtection="1"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7" fillId="4" borderId="1" xfId="0" applyFont="1" applyFill="1" applyBorder="1" applyAlignment="1">
      <alignment vertical="center"/>
    </xf>
    <xf numFmtId="0" fontId="4" fillId="2" borderId="3" xfId="0" applyFont="1" applyFill="1" applyBorder="1" applyProtection="1">
      <protection locked="0"/>
    </xf>
    <xf numFmtId="0" fontId="4" fillId="2" borderId="3" xfId="0" applyFont="1" applyFill="1" applyBorder="1" applyAlignment="1" applyProtection="1">
      <alignment horizontal="center"/>
      <protection locked="0"/>
    </xf>
    <xf numFmtId="0" fontId="4" fillId="4" borderId="3" xfId="0" applyFont="1" applyFill="1" applyBorder="1" applyAlignment="1" applyProtection="1">
      <alignment horizontal="center" vertical="center"/>
      <protection locked="0"/>
    </xf>
    <xf numFmtId="2" fontId="4" fillId="4" borderId="3" xfId="1" applyNumberFormat="1" applyFont="1" applyFill="1" applyBorder="1" applyAlignment="1" applyProtection="1">
      <alignment horizontal="center" vertical="center"/>
      <protection locked="0"/>
    </xf>
    <xf numFmtId="0" fontId="8" fillId="4" borderId="1" xfId="0" applyFont="1" applyFill="1" applyBorder="1" applyAlignment="1">
      <alignment vertical="center" wrapText="1"/>
    </xf>
    <xf numFmtId="0" fontId="5" fillId="4" borderId="2" xfId="0" applyFont="1" applyFill="1" applyBorder="1" applyAlignment="1" applyProtection="1">
      <alignment vertical="center"/>
      <protection locked="0"/>
    </xf>
    <xf numFmtId="0" fontId="4" fillId="2" borderId="3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wrapText="1"/>
      <protection locked="0"/>
    </xf>
    <xf numFmtId="0" fontId="1" fillId="2" borderId="1" xfId="0" applyFont="1" applyFill="1" applyBorder="1" applyProtection="1">
      <protection locked="0"/>
    </xf>
    <xf numFmtId="0" fontId="5" fillId="4" borderId="2" xfId="0" applyFont="1" applyFill="1" applyBorder="1" applyAlignment="1">
      <alignment wrapText="1"/>
    </xf>
    <xf numFmtId="0" fontId="4" fillId="2" borderId="2" xfId="0" applyFont="1" applyFill="1" applyBorder="1" applyProtection="1">
      <protection locked="0"/>
    </xf>
    <xf numFmtId="0" fontId="4" fillId="2" borderId="2" xfId="0" applyFont="1" applyFill="1" applyBorder="1" applyAlignment="1" applyProtection="1">
      <alignment horizontal="center" vertical="center"/>
      <protection locked="0"/>
    </xf>
    <xf numFmtId="0" fontId="5" fillId="4" borderId="2" xfId="0" applyFont="1" applyFill="1" applyBorder="1" applyAlignment="1">
      <alignment vertical="center" wrapText="1"/>
    </xf>
    <xf numFmtId="0" fontId="5" fillId="4" borderId="2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 applyProtection="1">
      <alignment vertical="center" wrapText="1"/>
      <protection locked="0"/>
    </xf>
    <xf numFmtId="0" fontId="4" fillId="5" borderId="0" xfId="0" applyFont="1" applyFill="1" applyProtection="1">
      <protection locked="0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165" fontId="9" fillId="0" borderId="1" xfId="0" applyNumberFormat="1" applyFont="1" applyBorder="1" applyProtection="1">
      <protection locked="0"/>
    </xf>
    <xf numFmtId="165" fontId="10" fillId="0" borderId="0" xfId="0" applyNumberFormat="1" applyFont="1" applyAlignment="1" applyProtection="1">
      <alignment vertical="center"/>
      <protection locked="0"/>
    </xf>
    <xf numFmtId="0" fontId="1" fillId="4" borderId="0" xfId="0" applyFont="1" applyFill="1" applyProtection="1">
      <protection locked="0"/>
    </xf>
    <xf numFmtId="0" fontId="1" fillId="4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12" fillId="0" borderId="0" xfId="0" applyFont="1"/>
    <xf numFmtId="16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</cellXfs>
  <cellStyles count="2">
    <cellStyle name="Milliers" xfId="1" builtinId="3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C7E7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2</xdr:row>
          <xdr:rowOff>0</xdr:rowOff>
        </xdr:from>
        <xdr:to>
          <xdr:col>5</xdr:col>
          <xdr:colOff>53340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Factures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G11"/>
  <sheetViews>
    <sheetView tabSelected="1" zoomScaleNormal="100" workbookViewId="0">
      <selection activeCell="C6" sqref="C6"/>
    </sheetView>
  </sheetViews>
  <sheetFormatPr baseColWidth="10" defaultColWidth="8.88671875" defaultRowHeight="14.4" x14ac:dyDescent="0.3"/>
  <cols>
    <col min="1" max="1" width="26.109375" customWidth="1"/>
    <col min="2" max="2" width="45.44140625" customWidth="1"/>
    <col min="3" max="3" width="16.44140625" customWidth="1"/>
    <col min="4" max="4" width="12" customWidth="1"/>
    <col min="5" max="1025" width="10.5546875" customWidth="1"/>
  </cols>
  <sheetData>
    <row r="1" spans="1:7" x14ac:dyDescent="0.3">
      <c r="A1" s="62" t="s">
        <v>0</v>
      </c>
      <c r="B1" t="s">
        <v>1</v>
      </c>
    </row>
    <row r="2" spans="1:7" x14ac:dyDescent="0.3">
      <c r="A2" s="62" t="s">
        <v>2</v>
      </c>
      <c r="B2" t="s">
        <v>232</v>
      </c>
    </row>
    <row r="3" spans="1:7" x14ac:dyDescent="0.3">
      <c r="A3" s="62" t="s">
        <v>3</v>
      </c>
      <c r="B3" s="1">
        <v>2</v>
      </c>
      <c r="G3" s="61"/>
    </row>
    <row r="4" spans="1:7" x14ac:dyDescent="0.3">
      <c r="A4" s="62" t="s">
        <v>4</v>
      </c>
      <c r="B4" s="1">
        <v>3</v>
      </c>
    </row>
    <row r="6" spans="1:7" x14ac:dyDescent="0.3">
      <c r="A6" s="62" t="s">
        <v>233</v>
      </c>
      <c r="C6" s="61"/>
    </row>
    <row r="7" spans="1:7" x14ac:dyDescent="0.3">
      <c r="A7" s="62" t="s">
        <v>234</v>
      </c>
      <c r="B7" s="1">
        <v>2</v>
      </c>
    </row>
    <row r="8" spans="1:7" x14ac:dyDescent="0.3">
      <c r="A8" s="62" t="s">
        <v>235</v>
      </c>
      <c r="B8" s="63">
        <v>45240.041458333333</v>
      </c>
    </row>
    <row r="9" spans="1:7" x14ac:dyDescent="0.3">
      <c r="A9" s="62" t="s">
        <v>236</v>
      </c>
      <c r="B9" s="63">
        <v>45210.041539351849</v>
      </c>
    </row>
    <row r="10" spans="1:7" x14ac:dyDescent="0.3">
      <c r="A10" s="62" t="s">
        <v>237</v>
      </c>
      <c r="B10" s="1">
        <v>7</v>
      </c>
    </row>
    <row r="11" spans="1:7" x14ac:dyDescent="0.3">
      <c r="A11" s="62" t="s">
        <v>238</v>
      </c>
      <c r="B11" s="64">
        <v>0.11666666666666667</v>
      </c>
    </row>
  </sheetData>
  <pageMargins left="0.7" right="0.7" top="0.75" bottom="0.75" header="0.51180555555555496" footer="0.51180555555555496"/>
  <pageSetup paperSize="9" firstPageNumber="0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SelectedRowsToPDF">
                <anchor moveWithCells="1" sizeWithCells="1">
                  <from>
                    <xdr:col>2</xdr:col>
                    <xdr:colOff>30480</xdr:colOff>
                    <xdr:row>2</xdr:row>
                    <xdr:rowOff>0</xdr:rowOff>
                  </from>
                  <to>
                    <xdr:col>5</xdr:col>
                    <xdr:colOff>53340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AMK38"/>
  <sheetViews>
    <sheetView zoomScaleNormal="100" workbookViewId="0"/>
  </sheetViews>
  <sheetFormatPr baseColWidth="10" defaultColWidth="8.88671875" defaultRowHeight="14.4" x14ac:dyDescent="0.3"/>
  <cols>
    <col min="1" max="1" width="10.33203125" style="2" customWidth="1"/>
    <col min="2" max="2" width="10.6640625" style="3" customWidth="1"/>
    <col min="3" max="3" width="27.5546875" style="2" customWidth="1"/>
    <col min="4" max="4" width="31.21875" style="2" customWidth="1"/>
    <col min="5" max="5" width="10.6640625" style="2" customWidth="1"/>
    <col min="6" max="6" width="13.5546875" style="2" customWidth="1"/>
    <col min="7" max="7" width="4.88671875" style="2" customWidth="1"/>
    <col min="8" max="8" width="13.109375" style="3" customWidth="1"/>
    <col min="9" max="9" width="15" style="2" customWidth="1"/>
    <col min="10" max="10" width="11.21875" style="2" customWidth="1"/>
    <col min="11" max="11" width="10.5546875" style="2" customWidth="1"/>
    <col min="12" max="12" width="17.109375" style="2" customWidth="1"/>
    <col min="13" max="13" width="9.5546875" style="2" customWidth="1"/>
    <col min="14" max="14" width="23.5546875" style="2" customWidth="1"/>
    <col min="15" max="15" width="13.109375" style="2" customWidth="1"/>
    <col min="16" max="18" width="10.6640625" style="2" customWidth="1"/>
    <col min="19" max="20" width="11.109375" style="2" customWidth="1"/>
    <col min="21" max="21" width="43.77734375" style="2" customWidth="1"/>
    <col min="22" max="22" width="16.44140625" style="2" customWidth="1"/>
    <col min="23" max="23" width="48.109375" style="2" customWidth="1"/>
    <col min="24" max="24" width="32.77734375" style="2" customWidth="1"/>
    <col min="25" max="25" width="48.21875" style="2" customWidth="1"/>
    <col min="26" max="26" width="36.109375" style="2" customWidth="1"/>
    <col min="27" max="27" width="17.109375" style="2" customWidth="1"/>
    <col min="28" max="28" width="32.77734375" style="2" customWidth="1"/>
    <col min="29" max="29" width="48.21875" style="2" customWidth="1"/>
    <col min="30" max="30" width="34.5546875" style="2" customWidth="1"/>
    <col min="31" max="31" width="13.109375" style="2" customWidth="1"/>
    <col min="32" max="1025" width="10.88671875" style="2" customWidth="1"/>
  </cols>
  <sheetData>
    <row r="1" spans="1:31" x14ac:dyDescent="0.3">
      <c r="A1" s="4" t="s">
        <v>5</v>
      </c>
      <c r="B1" s="5" t="s">
        <v>6</v>
      </c>
      <c r="C1" s="6" t="s">
        <v>7</v>
      </c>
      <c r="D1" s="4" t="s">
        <v>8</v>
      </c>
      <c r="E1" s="7" t="s">
        <v>9</v>
      </c>
      <c r="F1" s="5" t="s">
        <v>10</v>
      </c>
      <c r="G1" s="6" t="s">
        <v>11</v>
      </c>
      <c r="H1" s="8" t="s">
        <v>12</v>
      </c>
      <c r="I1" s="9" t="s">
        <v>13</v>
      </c>
      <c r="J1" s="9" t="s">
        <v>14</v>
      </c>
      <c r="K1" s="9" t="s">
        <v>15</v>
      </c>
      <c r="L1" s="4" t="s">
        <v>16</v>
      </c>
      <c r="M1" s="6" t="s">
        <v>17</v>
      </c>
      <c r="N1" s="4" t="s">
        <v>18</v>
      </c>
      <c r="O1" s="7" t="s">
        <v>19</v>
      </c>
      <c r="P1" s="10" t="s">
        <v>20</v>
      </c>
      <c r="Q1" s="7" t="s">
        <v>21</v>
      </c>
      <c r="R1" s="7" t="s">
        <v>22</v>
      </c>
      <c r="S1" s="6" t="s">
        <v>23</v>
      </c>
      <c r="T1" s="4" t="s">
        <v>24</v>
      </c>
      <c r="U1" s="11" t="s">
        <v>25</v>
      </c>
      <c r="V1" s="11" t="s">
        <v>26</v>
      </c>
      <c r="W1" s="12" t="s">
        <v>27</v>
      </c>
      <c r="X1" s="4" t="s">
        <v>28</v>
      </c>
      <c r="Y1" s="4" t="s">
        <v>29</v>
      </c>
      <c r="Z1" s="4" t="s">
        <v>30</v>
      </c>
      <c r="AA1" s="4" t="s">
        <v>31</v>
      </c>
      <c r="AB1" s="4" t="s">
        <v>32</v>
      </c>
      <c r="AC1" s="4" t="s">
        <v>33</v>
      </c>
      <c r="AD1" s="4" t="s">
        <v>34</v>
      </c>
      <c r="AE1" s="4" t="s">
        <v>35</v>
      </c>
    </row>
    <row r="2" spans="1:31" s="27" customFormat="1" ht="12" x14ac:dyDescent="0.25">
      <c r="A2" s="13" t="s">
        <v>36</v>
      </c>
      <c r="B2" s="14">
        <v>45199</v>
      </c>
      <c r="C2" s="15" t="s">
        <v>37</v>
      </c>
      <c r="D2" s="13" t="s">
        <v>38</v>
      </c>
      <c r="E2" s="16" t="s">
        <v>39</v>
      </c>
      <c r="F2" s="17">
        <v>202300001</v>
      </c>
      <c r="G2" s="18"/>
      <c r="H2" s="19"/>
      <c r="I2" s="20">
        <f t="shared" ref="I2:I8" si="0">S2*P2</f>
        <v>6000</v>
      </c>
      <c r="J2" s="20">
        <f t="shared" ref="J2:J36" si="1">I2+K2</f>
        <v>7200</v>
      </c>
      <c r="K2" s="20">
        <f t="shared" ref="K2:K36" si="2">I2*20/100</f>
        <v>1200</v>
      </c>
      <c r="L2" s="21">
        <v>2300006026</v>
      </c>
      <c r="M2" s="18" t="s">
        <v>40</v>
      </c>
      <c r="N2" s="16" t="s">
        <v>41</v>
      </c>
      <c r="O2" s="16">
        <v>123456</v>
      </c>
      <c r="P2" s="22">
        <v>12</v>
      </c>
      <c r="Q2" s="23" t="s">
        <v>42</v>
      </c>
      <c r="R2" s="23">
        <v>12</v>
      </c>
      <c r="S2" s="24">
        <v>500</v>
      </c>
      <c r="T2" s="20">
        <v>500</v>
      </c>
      <c r="U2" s="24" t="s">
        <v>43</v>
      </c>
      <c r="V2" s="18" t="s">
        <v>44</v>
      </c>
      <c r="W2" s="25"/>
      <c r="X2" s="26" t="s">
        <v>45</v>
      </c>
      <c r="Y2" s="26" t="s">
        <v>46</v>
      </c>
      <c r="Z2" s="26" t="s">
        <v>47</v>
      </c>
      <c r="AA2" s="26" t="s">
        <v>48</v>
      </c>
      <c r="AB2" s="26" t="s">
        <v>45</v>
      </c>
      <c r="AC2" s="26" t="s">
        <v>49</v>
      </c>
      <c r="AD2" s="26" t="s">
        <v>47</v>
      </c>
      <c r="AE2" s="26" t="s">
        <v>50</v>
      </c>
    </row>
    <row r="3" spans="1:31" s="27" customFormat="1" ht="12" x14ac:dyDescent="0.25">
      <c r="A3" s="13" t="s">
        <v>36</v>
      </c>
      <c r="B3" s="14">
        <v>45199</v>
      </c>
      <c r="C3" s="15" t="s">
        <v>51</v>
      </c>
      <c r="D3" s="13" t="s">
        <v>52</v>
      </c>
      <c r="E3" s="16" t="s">
        <v>53</v>
      </c>
      <c r="F3" s="17">
        <f t="shared" ref="F3:F36" si="3">F2+1</f>
        <v>202300002</v>
      </c>
      <c r="G3" s="18"/>
      <c r="H3" s="19"/>
      <c r="I3" s="20">
        <f t="shared" si="0"/>
        <v>7515</v>
      </c>
      <c r="J3" s="20">
        <f t="shared" si="1"/>
        <v>9018</v>
      </c>
      <c r="K3" s="20">
        <f t="shared" si="2"/>
        <v>1503</v>
      </c>
      <c r="L3" s="28">
        <v>2300006027</v>
      </c>
      <c r="M3" s="18" t="s">
        <v>40</v>
      </c>
      <c r="N3" s="16" t="s">
        <v>54</v>
      </c>
      <c r="O3" s="16">
        <v>123456</v>
      </c>
      <c r="P3" s="22">
        <v>15</v>
      </c>
      <c r="Q3" s="23" t="s">
        <v>42</v>
      </c>
      <c r="R3" s="23">
        <v>15</v>
      </c>
      <c r="S3" s="24">
        <v>501</v>
      </c>
      <c r="T3" s="20">
        <v>501</v>
      </c>
      <c r="U3" s="24" t="s">
        <v>43</v>
      </c>
      <c r="V3" s="18" t="s">
        <v>44</v>
      </c>
      <c r="W3" s="25"/>
      <c r="X3" s="26" t="s">
        <v>45</v>
      </c>
      <c r="Y3" s="26" t="s">
        <v>46</v>
      </c>
      <c r="Z3" s="26" t="s">
        <v>47</v>
      </c>
      <c r="AA3" s="26" t="s">
        <v>48</v>
      </c>
      <c r="AB3" s="26" t="s">
        <v>45</v>
      </c>
      <c r="AC3" s="26" t="s">
        <v>49</v>
      </c>
      <c r="AD3" s="26" t="s">
        <v>47</v>
      </c>
      <c r="AE3" s="26" t="s">
        <v>50</v>
      </c>
    </row>
    <row r="4" spans="1:31" s="27" customFormat="1" ht="12" x14ac:dyDescent="0.25">
      <c r="A4" s="13" t="s">
        <v>36</v>
      </c>
      <c r="B4" s="14">
        <v>45199</v>
      </c>
      <c r="C4" s="15" t="s">
        <v>55</v>
      </c>
      <c r="D4" s="13" t="s">
        <v>56</v>
      </c>
      <c r="E4" s="16" t="s">
        <v>57</v>
      </c>
      <c r="F4" s="17">
        <f t="shared" si="3"/>
        <v>202300003</v>
      </c>
      <c r="G4" s="18"/>
      <c r="H4" s="19"/>
      <c r="I4" s="20">
        <f t="shared" si="0"/>
        <v>9789</v>
      </c>
      <c r="J4" s="20">
        <f t="shared" si="1"/>
        <v>11746.8</v>
      </c>
      <c r="K4" s="20">
        <f t="shared" si="2"/>
        <v>1957.8</v>
      </c>
      <c r="L4" s="28">
        <v>2300006174</v>
      </c>
      <c r="M4" s="18" t="s">
        <v>40</v>
      </c>
      <c r="N4" s="16" t="s">
        <v>58</v>
      </c>
      <c r="O4" s="16">
        <v>123456</v>
      </c>
      <c r="P4" s="22">
        <v>19.5</v>
      </c>
      <c r="Q4" s="23" t="s">
        <v>42</v>
      </c>
      <c r="R4" s="23">
        <v>19.5</v>
      </c>
      <c r="S4" s="24">
        <v>502</v>
      </c>
      <c r="T4" s="20">
        <v>502</v>
      </c>
      <c r="U4" s="24" t="s">
        <v>43</v>
      </c>
      <c r="V4" s="18" t="s">
        <v>44</v>
      </c>
      <c r="W4" s="25"/>
      <c r="X4" s="26" t="s">
        <v>45</v>
      </c>
      <c r="Y4" s="26" t="s">
        <v>46</v>
      </c>
      <c r="Z4" s="26" t="s">
        <v>47</v>
      </c>
      <c r="AA4" s="26" t="s">
        <v>48</v>
      </c>
      <c r="AB4" s="26" t="s">
        <v>45</v>
      </c>
      <c r="AC4" s="26" t="s">
        <v>49</v>
      </c>
      <c r="AD4" s="26" t="s">
        <v>47</v>
      </c>
      <c r="AE4" s="26" t="s">
        <v>50</v>
      </c>
    </row>
    <row r="5" spans="1:31" s="27" customFormat="1" ht="12" x14ac:dyDescent="0.25">
      <c r="A5" s="13" t="s">
        <v>36</v>
      </c>
      <c r="B5" s="14">
        <v>45199</v>
      </c>
      <c r="C5" s="15" t="s">
        <v>59</v>
      </c>
      <c r="D5" s="13" t="s">
        <v>60</v>
      </c>
      <c r="E5" s="16" t="s">
        <v>61</v>
      </c>
      <c r="F5" s="17">
        <f t="shared" si="3"/>
        <v>202300004</v>
      </c>
      <c r="G5" s="18"/>
      <c r="H5" s="19"/>
      <c r="I5" s="20">
        <f t="shared" si="0"/>
        <v>10563</v>
      </c>
      <c r="J5" s="20">
        <f t="shared" si="1"/>
        <v>12675.6</v>
      </c>
      <c r="K5" s="20">
        <f t="shared" si="2"/>
        <v>2112.6</v>
      </c>
      <c r="L5" s="28">
        <v>2300006028</v>
      </c>
      <c r="M5" s="18" t="s">
        <v>40</v>
      </c>
      <c r="N5" s="16" t="s">
        <v>62</v>
      </c>
      <c r="O5" s="16">
        <v>123456</v>
      </c>
      <c r="P5" s="22">
        <v>21</v>
      </c>
      <c r="Q5" s="23" t="s">
        <v>42</v>
      </c>
      <c r="R5" s="23">
        <v>21</v>
      </c>
      <c r="S5" s="24">
        <v>503</v>
      </c>
      <c r="T5" s="20">
        <v>503</v>
      </c>
      <c r="U5" s="24" t="s">
        <v>43</v>
      </c>
      <c r="V5" s="18" t="s">
        <v>44</v>
      </c>
      <c r="W5" s="25"/>
      <c r="X5" s="26" t="s">
        <v>45</v>
      </c>
      <c r="Y5" s="26" t="s">
        <v>46</v>
      </c>
      <c r="Z5" s="26" t="s">
        <v>47</v>
      </c>
      <c r="AA5" s="26" t="s">
        <v>48</v>
      </c>
      <c r="AB5" s="26" t="s">
        <v>45</v>
      </c>
      <c r="AC5" s="26" t="s">
        <v>49</v>
      </c>
      <c r="AD5" s="26" t="s">
        <v>47</v>
      </c>
      <c r="AE5" s="26" t="s">
        <v>50</v>
      </c>
    </row>
    <row r="6" spans="1:31" s="27" customFormat="1" ht="12" x14ac:dyDescent="0.25">
      <c r="A6" s="13" t="s">
        <v>36</v>
      </c>
      <c r="B6" s="14">
        <v>45199</v>
      </c>
      <c r="C6" s="15" t="s">
        <v>63</v>
      </c>
      <c r="D6" s="13" t="s">
        <v>64</v>
      </c>
      <c r="E6" s="16" t="s">
        <v>65</v>
      </c>
      <c r="F6" s="17">
        <f t="shared" si="3"/>
        <v>202300005</v>
      </c>
      <c r="G6" s="18"/>
      <c r="H6" s="19"/>
      <c r="I6" s="20">
        <f t="shared" si="0"/>
        <v>10584</v>
      </c>
      <c r="J6" s="20">
        <f t="shared" si="1"/>
        <v>12700.8</v>
      </c>
      <c r="K6" s="20">
        <f t="shared" si="2"/>
        <v>2116.8000000000002</v>
      </c>
      <c r="L6" s="21">
        <v>2300006069</v>
      </c>
      <c r="M6" s="18" t="s">
        <v>40</v>
      </c>
      <c r="N6" s="16" t="s">
        <v>66</v>
      </c>
      <c r="O6" s="16">
        <v>123456</v>
      </c>
      <c r="P6" s="22">
        <v>21</v>
      </c>
      <c r="Q6" s="23" t="s">
        <v>42</v>
      </c>
      <c r="R6" s="23">
        <v>21</v>
      </c>
      <c r="S6" s="24">
        <v>504</v>
      </c>
      <c r="T6" s="20">
        <v>504</v>
      </c>
      <c r="U6" s="24" t="s">
        <v>43</v>
      </c>
      <c r="V6" s="18" t="s">
        <v>44</v>
      </c>
      <c r="W6" s="25"/>
      <c r="X6" s="26" t="s">
        <v>45</v>
      </c>
      <c r="Y6" s="26" t="s">
        <v>46</v>
      </c>
      <c r="Z6" s="26" t="s">
        <v>47</v>
      </c>
      <c r="AA6" s="26" t="s">
        <v>48</v>
      </c>
      <c r="AB6" s="26" t="s">
        <v>45</v>
      </c>
      <c r="AC6" s="26" t="s">
        <v>49</v>
      </c>
      <c r="AD6" s="26" t="s">
        <v>47</v>
      </c>
      <c r="AE6" s="26" t="s">
        <v>50</v>
      </c>
    </row>
    <row r="7" spans="1:31" s="27" customFormat="1" ht="12" x14ac:dyDescent="0.25">
      <c r="A7" s="13" t="s">
        <v>36</v>
      </c>
      <c r="B7" s="14">
        <v>45199</v>
      </c>
      <c r="C7" s="15" t="s">
        <v>67</v>
      </c>
      <c r="D7" s="13" t="s">
        <v>68</v>
      </c>
      <c r="E7" s="16" t="s">
        <v>69</v>
      </c>
      <c r="F7" s="17">
        <f t="shared" si="3"/>
        <v>202300006</v>
      </c>
      <c r="G7" s="18"/>
      <c r="H7" s="19"/>
      <c r="I7" s="20">
        <f t="shared" si="0"/>
        <v>5050</v>
      </c>
      <c r="J7" s="20">
        <f t="shared" si="1"/>
        <v>6060</v>
      </c>
      <c r="K7" s="20">
        <f t="shared" si="2"/>
        <v>1010</v>
      </c>
      <c r="L7" s="21">
        <v>2300005570</v>
      </c>
      <c r="M7" s="18" t="s">
        <v>40</v>
      </c>
      <c r="N7" s="16" t="s">
        <v>70</v>
      </c>
      <c r="O7" s="16">
        <v>123456</v>
      </c>
      <c r="P7" s="22">
        <v>10</v>
      </c>
      <c r="Q7" s="23" t="s">
        <v>42</v>
      </c>
      <c r="R7" s="23">
        <v>10</v>
      </c>
      <c r="S7" s="24">
        <v>505</v>
      </c>
      <c r="T7" s="20">
        <v>505</v>
      </c>
      <c r="U7" s="24" t="s">
        <v>43</v>
      </c>
      <c r="V7" s="18" t="s">
        <v>44</v>
      </c>
      <c r="W7" s="25"/>
      <c r="X7" s="26" t="s">
        <v>45</v>
      </c>
      <c r="Y7" s="26" t="s">
        <v>46</v>
      </c>
      <c r="Z7" s="26" t="s">
        <v>47</v>
      </c>
      <c r="AA7" s="26" t="s">
        <v>48</v>
      </c>
      <c r="AB7" s="26" t="s">
        <v>45</v>
      </c>
      <c r="AC7" s="26" t="s">
        <v>49</v>
      </c>
      <c r="AD7" s="26" t="s">
        <v>47</v>
      </c>
      <c r="AE7" s="26" t="s">
        <v>50</v>
      </c>
    </row>
    <row r="8" spans="1:31" s="27" customFormat="1" ht="12" x14ac:dyDescent="0.25">
      <c r="A8" s="13" t="s">
        <v>36</v>
      </c>
      <c r="B8" s="14">
        <v>45199</v>
      </c>
      <c r="C8" s="15" t="s">
        <v>71</v>
      </c>
      <c r="D8" s="26" t="s">
        <v>56</v>
      </c>
      <c r="E8" s="16" t="s">
        <v>72</v>
      </c>
      <c r="F8" s="17">
        <f t="shared" si="3"/>
        <v>202300007</v>
      </c>
      <c r="G8" s="18"/>
      <c r="H8" s="19"/>
      <c r="I8" s="20">
        <f t="shared" si="0"/>
        <v>10626</v>
      </c>
      <c r="J8" s="20">
        <f t="shared" si="1"/>
        <v>12751.2</v>
      </c>
      <c r="K8" s="20">
        <f t="shared" si="2"/>
        <v>2125.1999999999998</v>
      </c>
      <c r="L8" s="28">
        <v>2300006028</v>
      </c>
      <c r="M8" s="18" t="s">
        <v>40</v>
      </c>
      <c r="N8" s="16" t="s">
        <v>73</v>
      </c>
      <c r="O8" s="16">
        <v>123456</v>
      </c>
      <c r="P8" s="22">
        <v>21</v>
      </c>
      <c r="Q8" s="23" t="s">
        <v>42</v>
      </c>
      <c r="R8" s="23">
        <v>21</v>
      </c>
      <c r="S8" s="24">
        <v>506</v>
      </c>
      <c r="T8" s="20">
        <v>506</v>
      </c>
      <c r="U8" s="24" t="s">
        <v>43</v>
      </c>
      <c r="V8" s="18" t="s">
        <v>44</v>
      </c>
      <c r="W8" s="25"/>
      <c r="X8" s="26" t="s">
        <v>45</v>
      </c>
      <c r="Y8" s="26" t="s">
        <v>46</v>
      </c>
      <c r="Z8" s="26" t="s">
        <v>47</v>
      </c>
      <c r="AA8" s="26" t="s">
        <v>48</v>
      </c>
      <c r="AB8" s="26" t="s">
        <v>45</v>
      </c>
      <c r="AC8" s="26" t="s">
        <v>49</v>
      </c>
      <c r="AD8" s="26" t="s">
        <v>47</v>
      </c>
      <c r="AE8" s="26" t="s">
        <v>50</v>
      </c>
    </row>
    <row r="9" spans="1:31" s="27" customFormat="1" ht="12" x14ac:dyDescent="0.25">
      <c r="A9" s="13" t="s">
        <v>36</v>
      </c>
      <c r="B9" s="14">
        <v>45199</v>
      </c>
      <c r="C9" s="15" t="s">
        <v>74</v>
      </c>
      <c r="D9" s="13" t="s">
        <v>64</v>
      </c>
      <c r="E9" s="16" t="s">
        <v>65</v>
      </c>
      <c r="F9" s="17">
        <f t="shared" si="3"/>
        <v>202300008</v>
      </c>
      <c r="G9" s="18"/>
      <c r="H9" s="19"/>
      <c r="I9" s="20">
        <v>582.63</v>
      </c>
      <c r="J9" s="20">
        <f t="shared" si="1"/>
        <v>699.15599999999995</v>
      </c>
      <c r="K9" s="20">
        <f t="shared" si="2"/>
        <v>116.52600000000001</v>
      </c>
      <c r="L9" s="21">
        <v>2300006069</v>
      </c>
      <c r="M9" s="18" t="s">
        <v>40</v>
      </c>
      <c r="N9" s="16" t="s">
        <v>75</v>
      </c>
      <c r="O9" s="16">
        <v>123456</v>
      </c>
      <c r="P9" s="22">
        <v>21</v>
      </c>
      <c r="Q9" s="23" t="s">
        <v>42</v>
      </c>
      <c r="R9" s="23">
        <v>21</v>
      </c>
      <c r="S9" s="24">
        <v>507</v>
      </c>
      <c r="T9" s="20">
        <v>507</v>
      </c>
      <c r="U9" s="24" t="s">
        <v>43</v>
      </c>
      <c r="V9" s="18"/>
      <c r="W9" s="25"/>
      <c r="X9" s="26" t="s">
        <v>45</v>
      </c>
      <c r="Y9" s="26" t="s">
        <v>46</v>
      </c>
      <c r="Z9" s="26" t="s">
        <v>47</v>
      </c>
      <c r="AA9" s="26" t="s">
        <v>48</v>
      </c>
      <c r="AB9" s="26" t="s">
        <v>45</v>
      </c>
      <c r="AC9" s="26" t="s">
        <v>49</v>
      </c>
      <c r="AD9" s="26" t="s">
        <v>47</v>
      </c>
      <c r="AE9" s="26" t="s">
        <v>50</v>
      </c>
    </row>
    <row r="10" spans="1:31" s="35" customFormat="1" ht="12" x14ac:dyDescent="0.25">
      <c r="A10" s="13" t="s">
        <v>36</v>
      </c>
      <c r="B10" s="14">
        <v>45199</v>
      </c>
      <c r="C10" s="15" t="s">
        <v>76</v>
      </c>
      <c r="D10" s="13" t="s">
        <v>77</v>
      </c>
      <c r="E10" s="29" t="s">
        <v>78</v>
      </c>
      <c r="F10" s="17">
        <f t="shared" si="3"/>
        <v>202300009</v>
      </c>
      <c r="G10" s="18"/>
      <c r="H10" s="19"/>
      <c r="I10" s="20">
        <f t="shared" ref="I10:I26" si="4">S10*P10</f>
        <v>9652</v>
      </c>
      <c r="J10" s="20">
        <f t="shared" si="1"/>
        <v>11582.4</v>
      </c>
      <c r="K10" s="20">
        <f t="shared" si="2"/>
        <v>1930.4</v>
      </c>
      <c r="L10" s="30" t="s">
        <v>79</v>
      </c>
      <c r="M10" s="18" t="s">
        <v>80</v>
      </c>
      <c r="N10" s="16" t="s">
        <v>81</v>
      </c>
      <c r="O10" s="16">
        <v>123456</v>
      </c>
      <c r="P10" s="31">
        <v>19</v>
      </c>
      <c r="Q10" s="32" t="s">
        <v>42</v>
      </c>
      <c r="R10" s="32">
        <v>19</v>
      </c>
      <c r="S10" s="24">
        <v>508</v>
      </c>
      <c r="T10" s="20">
        <v>508</v>
      </c>
      <c r="U10" s="24" t="s">
        <v>43</v>
      </c>
      <c r="V10" s="33"/>
      <c r="W10" s="34"/>
      <c r="X10" s="26" t="s">
        <v>45</v>
      </c>
      <c r="Y10" s="26" t="s">
        <v>46</v>
      </c>
      <c r="Z10" s="26" t="s">
        <v>47</v>
      </c>
      <c r="AA10" s="26" t="s">
        <v>48</v>
      </c>
      <c r="AB10" s="26" t="s">
        <v>45</v>
      </c>
      <c r="AC10" s="26" t="s">
        <v>49</v>
      </c>
      <c r="AD10" s="26" t="s">
        <v>47</v>
      </c>
      <c r="AE10" s="26" t="s">
        <v>50</v>
      </c>
    </row>
    <row r="11" spans="1:31" s="27" customFormat="1" ht="12" x14ac:dyDescent="0.25">
      <c r="A11" s="13" t="s">
        <v>36</v>
      </c>
      <c r="B11" s="14">
        <v>45199</v>
      </c>
      <c r="C11" s="15" t="s">
        <v>82</v>
      </c>
      <c r="D11" s="13" t="s">
        <v>83</v>
      </c>
      <c r="E11" s="16" t="s">
        <v>84</v>
      </c>
      <c r="F11" s="17">
        <f t="shared" si="3"/>
        <v>202300010</v>
      </c>
      <c r="G11" s="18"/>
      <c r="H11" s="19"/>
      <c r="I11" s="20">
        <f t="shared" si="4"/>
        <v>7635</v>
      </c>
      <c r="J11" s="20">
        <f t="shared" si="1"/>
        <v>9162</v>
      </c>
      <c r="K11" s="20">
        <f t="shared" si="2"/>
        <v>1527</v>
      </c>
      <c r="L11" s="28">
        <v>8000980905</v>
      </c>
      <c r="M11" s="18" t="s">
        <v>80</v>
      </c>
      <c r="N11" s="16" t="s">
        <v>85</v>
      </c>
      <c r="O11" s="16">
        <v>123456</v>
      </c>
      <c r="P11" s="31">
        <v>15</v>
      </c>
      <c r="Q11" s="32" t="s">
        <v>86</v>
      </c>
      <c r="R11" s="32">
        <v>1</v>
      </c>
      <c r="S11" s="24">
        <v>509</v>
      </c>
      <c r="T11" s="20"/>
      <c r="U11" s="24" t="s">
        <v>43</v>
      </c>
      <c r="V11" s="33"/>
      <c r="W11" s="25"/>
      <c r="X11" s="26" t="s">
        <v>45</v>
      </c>
      <c r="Y11" s="26" t="s">
        <v>46</v>
      </c>
      <c r="Z11" s="26" t="s">
        <v>47</v>
      </c>
      <c r="AA11" s="26" t="s">
        <v>48</v>
      </c>
      <c r="AB11" s="26" t="s">
        <v>45</v>
      </c>
      <c r="AC11" s="26" t="s">
        <v>87</v>
      </c>
      <c r="AD11" s="26" t="s">
        <v>88</v>
      </c>
      <c r="AE11" s="26" t="s">
        <v>89</v>
      </c>
    </row>
    <row r="12" spans="1:31" s="27" customFormat="1" ht="12" x14ac:dyDescent="0.25">
      <c r="A12" s="13" t="s">
        <v>36</v>
      </c>
      <c r="B12" s="14">
        <v>45199</v>
      </c>
      <c r="C12" s="15" t="s">
        <v>90</v>
      </c>
      <c r="D12" s="13" t="s">
        <v>91</v>
      </c>
      <c r="E12" s="29" t="s">
        <v>92</v>
      </c>
      <c r="F12" s="17">
        <f t="shared" si="3"/>
        <v>202300011</v>
      </c>
      <c r="G12" s="36"/>
      <c r="H12" s="19"/>
      <c r="I12" s="20">
        <f t="shared" si="4"/>
        <v>9180</v>
      </c>
      <c r="J12" s="20">
        <f t="shared" si="1"/>
        <v>11016</v>
      </c>
      <c r="K12" s="20">
        <f t="shared" si="2"/>
        <v>1836</v>
      </c>
      <c r="L12" s="21">
        <v>8000701493</v>
      </c>
      <c r="M12" s="18" t="s">
        <v>80</v>
      </c>
      <c r="N12" s="16" t="s">
        <v>93</v>
      </c>
      <c r="O12" s="16">
        <v>123456</v>
      </c>
      <c r="P12" s="31">
        <v>18</v>
      </c>
      <c r="Q12" s="32" t="s">
        <v>86</v>
      </c>
      <c r="R12" s="32">
        <v>1</v>
      </c>
      <c r="S12" s="24">
        <v>510</v>
      </c>
      <c r="T12" s="20"/>
      <c r="U12" s="24" t="s">
        <v>43</v>
      </c>
      <c r="V12" s="33"/>
      <c r="W12" s="37" t="s">
        <v>94</v>
      </c>
      <c r="X12" s="26" t="s">
        <v>45</v>
      </c>
      <c r="Y12" s="26" t="s">
        <v>46</v>
      </c>
      <c r="Z12" s="26" t="s">
        <v>47</v>
      </c>
      <c r="AA12" s="26" t="s">
        <v>48</v>
      </c>
      <c r="AB12" s="26" t="s">
        <v>45</v>
      </c>
      <c r="AC12" s="26" t="s">
        <v>46</v>
      </c>
      <c r="AD12" s="26" t="s">
        <v>47</v>
      </c>
      <c r="AE12" s="26" t="s">
        <v>95</v>
      </c>
    </row>
    <row r="13" spans="1:31" s="27" customFormat="1" ht="13.5" customHeight="1" x14ac:dyDescent="0.25">
      <c r="A13" s="13" t="s">
        <v>36</v>
      </c>
      <c r="B13" s="14">
        <v>45199</v>
      </c>
      <c r="C13" s="15" t="s">
        <v>96</v>
      </c>
      <c r="D13" s="38" t="s">
        <v>97</v>
      </c>
      <c r="E13" s="39" t="s">
        <v>98</v>
      </c>
      <c r="F13" s="17">
        <f t="shared" si="3"/>
        <v>202300012</v>
      </c>
      <c r="G13" s="40"/>
      <c r="H13" s="19"/>
      <c r="I13" s="20">
        <f t="shared" si="4"/>
        <v>5621</v>
      </c>
      <c r="J13" s="20">
        <f t="shared" si="1"/>
        <v>6745.2</v>
      </c>
      <c r="K13" s="20">
        <f t="shared" si="2"/>
        <v>1124.2</v>
      </c>
      <c r="L13" s="30">
        <v>8000780991</v>
      </c>
      <c r="M13" s="18" t="s">
        <v>80</v>
      </c>
      <c r="N13" s="16" t="s">
        <v>99</v>
      </c>
      <c r="O13" s="16">
        <v>123456</v>
      </c>
      <c r="P13" s="41">
        <v>11</v>
      </c>
      <c r="Q13" s="32" t="s">
        <v>86</v>
      </c>
      <c r="R13" s="32">
        <v>1</v>
      </c>
      <c r="S13" s="24">
        <v>511</v>
      </c>
      <c r="T13" s="20"/>
      <c r="U13" s="24" t="s">
        <v>43</v>
      </c>
      <c r="V13" s="33"/>
      <c r="W13" s="42" t="s">
        <v>100</v>
      </c>
      <c r="X13" s="26" t="s">
        <v>45</v>
      </c>
      <c r="Y13" s="26" t="s">
        <v>46</v>
      </c>
      <c r="Z13" s="26" t="s">
        <v>47</v>
      </c>
      <c r="AA13" s="26" t="s">
        <v>48</v>
      </c>
      <c r="AB13" s="26" t="s">
        <v>45</v>
      </c>
      <c r="AC13" s="26" t="s">
        <v>49</v>
      </c>
      <c r="AD13" s="26" t="s">
        <v>47</v>
      </c>
      <c r="AE13" s="26" t="s">
        <v>50</v>
      </c>
    </row>
    <row r="14" spans="1:31" s="27" customFormat="1" ht="12" x14ac:dyDescent="0.25">
      <c r="A14" s="13" t="s">
        <v>36</v>
      </c>
      <c r="B14" s="14">
        <v>45199</v>
      </c>
      <c r="C14" s="15" t="s">
        <v>101</v>
      </c>
      <c r="D14" s="38" t="s">
        <v>102</v>
      </c>
      <c r="E14" s="39" t="s">
        <v>103</v>
      </c>
      <c r="F14" s="17">
        <f t="shared" si="3"/>
        <v>202300013</v>
      </c>
      <c r="G14" s="40"/>
      <c r="H14" s="19"/>
      <c r="I14" s="20">
        <f t="shared" si="4"/>
        <v>10752</v>
      </c>
      <c r="J14" s="20">
        <f t="shared" si="1"/>
        <v>12902.4</v>
      </c>
      <c r="K14" s="20">
        <f t="shared" si="2"/>
        <v>2150.4</v>
      </c>
      <c r="L14" s="28" t="s">
        <v>104</v>
      </c>
      <c r="M14" s="18" t="s">
        <v>80</v>
      </c>
      <c r="N14" s="16" t="s">
        <v>105</v>
      </c>
      <c r="O14" s="16">
        <v>123456</v>
      </c>
      <c r="P14" s="41">
        <v>21</v>
      </c>
      <c r="Q14" s="32" t="s">
        <v>86</v>
      </c>
      <c r="R14" s="32">
        <v>1</v>
      </c>
      <c r="S14" s="24">
        <v>512</v>
      </c>
      <c r="T14" s="20"/>
      <c r="U14" s="24" t="s">
        <v>43</v>
      </c>
      <c r="V14" s="33"/>
      <c r="W14" s="43"/>
      <c r="X14" s="26" t="s">
        <v>45</v>
      </c>
      <c r="Y14" s="26" t="s">
        <v>46</v>
      </c>
      <c r="Z14" s="26" t="s">
        <v>47</v>
      </c>
      <c r="AA14" s="26" t="s">
        <v>48</v>
      </c>
      <c r="AB14" s="26" t="s">
        <v>45</v>
      </c>
      <c r="AC14" s="26" t="s">
        <v>106</v>
      </c>
      <c r="AD14" s="26" t="s">
        <v>107</v>
      </c>
      <c r="AE14" s="26" t="s">
        <v>108</v>
      </c>
    </row>
    <row r="15" spans="1:31" s="27" customFormat="1" ht="12" x14ac:dyDescent="0.25">
      <c r="A15" s="13" t="s">
        <v>36</v>
      </c>
      <c r="B15" s="14">
        <v>45199</v>
      </c>
      <c r="C15" s="15" t="s">
        <v>109</v>
      </c>
      <c r="D15" s="38" t="s">
        <v>110</v>
      </c>
      <c r="E15" s="44" t="s">
        <v>111</v>
      </c>
      <c r="F15" s="17">
        <f t="shared" si="3"/>
        <v>202300014</v>
      </c>
      <c r="G15" s="40"/>
      <c r="H15" s="19"/>
      <c r="I15" s="20">
        <f t="shared" si="4"/>
        <v>10773</v>
      </c>
      <c r="J15" s="20">
        <f t="shared" si="1"/>
        <v>12927.6</v>
      </c>
      <c r="K15" s="20">
        <f t="shared" si="2"/>
        <v>2154.6</v>
      </c>
      <c r="L15" s="28">
        <v>8000970918</v>
      </c>
      <c r="M15" s="18" t="s">
        <v>80</v>
      </c>
      <c r="N15" s="16" t="s">
        <v>112</v>
      </c>
      <c r="O15" s="16">
        <v>123456</v>
      </c>
      <c r="P15" s="41">
        <v>21</v>
      </c>
      <c r="Q15" s="32" t="s">
        <v>86</v>
      </c>
      <c r="R15" s="32">
        <v>1</v>
      </c>
      <c r="S15" s="24">
        <v>513</v>
      </c>
      <c r="T15" s="20"/>
      <c r="U15" s="24" t="s">
        <v>43</v>
      </c>
      <c r="V15" s="33"/>
      <c r="W15" s="43"/>
      <c r="X15" s="26" t="s">
        <v>45</v>
      </c>
      <c r="Y15" s="26" t="s">
        <v>46</v>
      </c>
      <c r="Z15" s="26" t="s">
        <v>47</v>
      </c>
      <c r="AA15" s="26" t="s">
        <v>48</v>
      </c>
      <c r="AB15" s="26" t="s">
        <v>45</v>
      </c>
      <c r="AC15" s="26" t="s">
        <v>113</v>
      </c>
      <c r="AD15" s="26" t="s">
        <v>114</v>
      </c>
      <c r="AE15" s="26" t="s">
        <v>115</v>
      </c>
    </row>
    <row r="16" spans="1:31" s="27" customFormat="1" ht="12" x14ac:dyDescent="0.25">
      <c r="A16" s="13" t="s">
        <v>36</v>
      </c>
      <c r="B16" s="14">
        <v>45199</v>
      </c>
      <c r="C16" s="15" t="s">
        <v>116</v>
      </c>
      <c r="D16" s="13" t="s">
        <v>117</v>
      </c>
      <c r="E16" s="16" t="s">
        <v>118</v>
      </c>
      <c r="F16" s="17">
        <f t="shared" si="3"/>
        <v>202300015</v>
      </c>
      <c r="G16" s="36"/>
      <c r="H16" s="19"/>
      <c r="I16" s="20">
        <f t="shared" si="4"/>
        <v>10794</v>
      </c>
      <c r="J16" s="20">
        <f t="shared" si="1"/>
        <v>12952.8</v>
      </c>
      <c r="K16" s="20">
        <f t="shared" si="2"/>
        <v>2158.8000000000002</v>
      </c>
      <c r="L16" s="30" t="s">
        <v>119</v>
      </c>
      <c r="M16" s="18" t="s">
        <v>80</v>
      </c>
      <c r="N16" s="16" t="s">
        <v>120</v>
      </c>
      <c r="O16" s="16">
        <v>123456</v>
      </c>
      <c r="P16" s="31">
        <v>21</v>
      </c>
      <c r="Q16" s="32" t="s">
        <v>86</v>
      </c>
      <c r="R16" s="32">
        <v>1</v>
      </c>
      <c r="S16" s="24">
        <v>514</v>
      </c>
      <c r="T16" s="20"/>
      <c r="U16" s="24" t="s">
        <v>43</v>
      </c>
      <c r="V16" s="33"/>
      <c r="W16" s="43"/>
      <c r="X16" s="26" t="s">
        <v>45</v>
      </c>
      <c r="Y16" s="26" t="s">
        <v>46</v>
      </c>
      <c r="Z16" s="26" t="s">
        <v>47</v>
      </c>
      <c r="AA16" s="26" t="s">
        <v>48</v>
      </c>
      <c r="AB16" s="26" t="s">
        <v>45</v>
      </c>
      <c r="AC16" s="45" t="s">
        <v>121</v>
      </c>
      <c r="AD16" s="46" t="s">
        <v>122</v>
      </c>
      <c r="AE16" s="26" t="s">
        <v>123</v>
      </c>
    </row>
    <row r="17" spans="1:31" s="27" customFormat="1" ht="12" x14ac:dyDescent="0.25">
      <c r="A17" s="13" t="s">
        <v>36</v>
      </c>
      <c r="B17" s="14">
        <v>45199</v>
      </c>
      <c r="C17" s="15" t="s">
        <v>124</v>
      </c>
      <c r="D17" s="13" t="s">
        <v>125</v>
      </c>
      <c r="E17" s="16" t="s">
        <v>126</v>
      </c>
      <c r="F17" s="17">
        <f t="shared" si="3"/>
        <v>202300016</v>
      </c>
      <c r="G17" s="36"/>
      <c r="H17" s="19"/>
      <c r="I17" s="20">
        <f t="shared" si="4"/>
        <v>10815</v>
      </c>
      <c r="J17" s="20">
        <f t="shared" si="1"/>
        <v>12978</v>
      </c>
      <c r="K17" s="20">
        <f t="shared" si="2"/>
        <v>2163</v>
      </c>
      <c r="L17" s="30" t="s">
        <v>127</v>
      </c>
      <c r="M17" s="18" t="s">
        <v>80</v>
      </c>
      <c r="N17" s="16" t="s">
        <v>128</v>
      </c>
      <c r="O17" s="16">
        <v>123456</v>
      </c>
      <c r="P17" s="31">
        <v>21</v>
      </c>
      <c r="Q17" s="32" t="s">
        <v>86</v>
      </c>
      <c r="R17" s="32">
        <v>1</v>
      </c>
      <c r="S17" s="24">
        <v>515</v>
      </c>
      <c r="T17" s="20"/>
      <c r="U17" s="24" t="s">
        <v>43</v>
      </c>
      <c r="V17" s="33"/>
      <c r="W17" s="47"/>
      <c r="X17" s="26" t="s">
        <v>129</v>
      </c>
      <c r="Y17" s="26" t="s">
        <v>46</v>
      </c>
      <c r="Z17" s="26" t="s">
        <v>47</v>
      </c>
      <c r="AA17" s="26" t="s">
        <v>130</v>
      </c>
      <c r="AB17" s="26" t="s">
        <v>129</v>
      </c>
      <c r="AC17" s="26" t="s">
        <v>131</v>
      </c>
      <c r="AD17" s="26" t="s">
        <v>132</v>
      </c>
      <c r="AE17" s="26" t="s">
        <v>133</v>
      </c>
    </row>
    <row r="18" spans="1:31" s="27" customFormat="1" ht="12" x14ac:dyDescent="0.25">
      <c r="A18" s="13" t="s">
        <v>36</v>
      </c>
      <c r="B18" s="14">
        <v>45199</v>
      </c>
      <c r="C18" s="15" t="s">
        <v>134</v>
      </c>
      <c r="D18" s="13" t="s">
        <v>135</v>
      </c>
      <c r="E18" s="16" t="s">
        <v>136</v>
      </c>
      <c r="F18" s="17">
        <f t="shared" si="3"/>
        <v>202300017</v>
      </c>
      <c r="G18" s="36"/>
      <c r="H18" s="19"/>
      <c r="I18" s="20">
        <f t="shared" si="4"/>
        <v>10836</v>
      </c>
      <c r="J18" s="20">
        <f t="shared" si="1"/>
        <v>13003.2</v>
      </c>
      <c r="K18" s="20">
        <f t="shared" si="2"/>
        <v>2167.1999999999998</v>
      </c>
      <c r="L18" s="21" t="s">
        <v>137</v>
      </c>
      <c r="M18" s="18" t="s">
        <v>80</v>
      </c>
      <c r="N18" s="16" t="s">
        <v>138</v>
      </c>
      <c r="O18" s="16">
        <v>123456</v>
      </c>
      <c r="P18" s="31">
        <v>21</v>
      </c>
      <c r="Q18" s="32" t="s">
        <v>86</v>
      </c>
      <c r="R18" s="32">
        <v>1</v>
      </c>
      <c r="S18" s="24">
        <v>516</v>
      </c>
      <c r="T18" s="20"/>
      <c r="U18" s="24" t="s">
        <v>43</v>
      </c>
      <c r="V18" s="33"/>
      <c r="W18" s="43"/>
      <c r="X18" s="26" t="s">
        <v>45</v>
      </c>
      <c r="Y18" s="26" t="s">
        <v>46</v>
      </c>
      <c r="Z18" s="26" t="s">
        <v>47</v>
      </c>
      <c r="AA18" s="26" t="s">
        <v>48</v>
      </c>
      <c r="AB18" s="26" t="s">
        <v>45</v>
      </c>
      <c r="AC18" s="26" t="s">
        <v>139</v>
      </c>
      <c r="AD18" s="26" t="s">
        <v>140</v>
      </c>
      <c r="AE18" s="26" t="s">
        <v>141</v>
      </c>
    </row>
    <row r="19" spans="1:31" s="27" customFormat="1" ht="12" x14ac:dyDescent="0.25">
      <c r="A19" s="13" t="s">
        <v>36</v>
      </c>
      <c r="B19" s="14">
        <v>45199</v>
      </c>
      <c r="C19" s="15" t="s">
        <v>142</v>
      </c>
      <c r="D19" s="48" t="s">
        <v>143</v>
      </c>
      <c r="E19" s="49" t="s">
        <v>144</v>
      </c>
      <c r="F19" s="17">
        <f t="shared" si="3"/>
        <v>202300018</v>
      </c>
      <c r="G19" s="36"/>
      <c r="H19" s="19"/>
      <c r="I19" s="20">
        <f t="shared" si="4"/>
        <v>10340</v>
      </c>
      <c r="J19" s="20">
        <f t="shared" si="1"/>
        <v>12408</v>
      </c>
      <c r="K19" s="20">
        <f t="shared" si="2"/>
        <v>2068</v>
      </c>
      <c r="L19" s="28" t="s">
        <v>145</v>
      </c>
      <c r="M19" s="18" t="s">
        <v>80</v>
      </c>
      <c r="N19" s="16" t="s">
        <v>146</v>
      </c>
      <c r="O19" s="16">
        <v>123456</v>
      </c>
      <c r="P19" s="31">
        <v>20</v>
      </c>
      <c r="Q19" s="32" t="s">
        <v>86</v>
      </c>
      <c r="R19" s="32">
        <v>1</v>
      </c>
      <c r="S19" s="24">
        <v>517</v>
      </c>
      <c r="T19" s="20"/>
      <c r="U19" s="24" t="s">
        <v>43</v>
      </c>
      <c r="V19" s="33"/>
      <c r="W19" s="47"/>
      <c r="X19" s="26" t="s">
        <v>45</v>
      </c>
      <c r="Y19" s="26" t="s">
        <v>46</v>
      </c>
      <c r="Z19" s="26" t="s">
        <v>47</v>
      </c>
      <c r="AA19" s="26" t="s">
        <v>48</v>
      </c>
      <c r="AB19" s="26" t="s">
        <v>45</v>
      </c>
      <c r="AC19" s="26" t="s">
        <v>139</v>
      </c>
      <c r="AD19" s="26" t="s">
        <v>140</v>
      </c>
      <c r="AE19" s="26" t="s">
        <v>141</v>
      </c>
    </row>
    <row r="20" spans="1:31" s="27" customFormat="1" ht="12" x14ac:dyDescent="0.25">
      <c r="A20" s="13" t="s">
        <v>36</v>
      </c>
      <c r="B20" s="14">
        <v>45199</v>
      </c>
      <c r="C20" s="15" t="s">
        <v>147</v>
      </c>
      <c r="D20" s="13" t="s">
        <v>148</v>
      </c>
      <c r="E20" s="21" t="s">
        <v>149</v>
      </c>
      <c r="F20" s="17">
        <f t="shared" si="3"/>
        <v>202300019</v>
      </c>
      <c r="G20" s="36"/>
      <c r="H20" s="19"/>
      <c r="I20" s="20">
        <f t="shared" si="4"/>
        <v>8806</v>
      </c>
      <c r="J20" s="20">
        <f t="shared" si="1"/>
        <v>10567.2</v>
      </c>
      <c r="K20" s="20">
        <f t="shared" si="2"/>
        <v>1761.2</v>
      </c>
      <c r="L20" s="28" t="s">
        <v>150</v>
      </c>
      <c r="M20" s="18" t="s">
        <v>80</v>
      </c>
      <c r="N20" s="16" t="s">
        <v>151</v>
      </c>
      <c r="O20" s="16">
        <v>123456</v>
      </c>
      <c r="P20" s="31">
        <v>17</v>
      </c>
      <c r="Q20" s="32" t="s">
        <v>86</v>
      </c>
      <c r="R20" s="32">
        <v>1</v>
      </c>
      <c r="S20" s="24">
        <v>518</v>
      </c>
      <c r="T20" s="20"/>
      <c r="U20" s="24" t="s">
        <v>43</v>
      </c>
      <c r="V20" s="18"/>
      <c r="W20" s="50"/>
      <c r="X20" s="26" t="s">
        <v>45</v>
      </c>
      <c r="Y20" s="26" t="s">
        <v>46</v>
      </c>
      <c r="Z20" s="26" t="s">
        <v>47</v>
      </c>
      <c r="AA20" s="26" t="s">
        <v>48</v>
      </c>
      <c r="AB20" s="26" t="s">
        <v>45</v>
      </c>
      <c r="AC20" s="26" t="s">
        <v>113</v>
      </c>
      <c r="AD20" s="26" t="s">
        <v>114</v>
      </c>
      <c r="AE20" s="26" t="s">
        <v>115</v>
      </c>
    </row>
    <row r="21" spans="1:31" s="27" customFormat="1" ht="12" x14ac:dyDescent="0.25">
      <c r="A21" s="13" t="s">
        <v>36</v>
      </c>
      <c r="B21" s="14">
        <v>45199</v>
      </c>
      <c r="C21" s="15" t="s">
        <v>152</v>
      </c>
      <c r="D21" s="26" t="s">
        <v>153</v>
      </c>
      <c r="E21" s="29" t="s">
        <v>154</v>
      </c>
      <c r="F21" s="17">
        <f t="shared" si="3"/>
        <v>202300020</v>
      </c>
      <c r="G21" s="36"/>
      <c r="H21" s="19"/>
      <c r="I21" s="20">
        <f t="shared" si="4"/>
        <v>10899</v>
      </c>
      <c r="J21" s="20">
        <f t="shared" si="1"/>
        <v>13078.8</v>
      </c>
      <c r="K21" s="20">
        <f t="shared" si="2"/>
        <v>2179.8000000000002</v>
      </c>
      <c r="L21" s="28">
        <v>8601023661</v>
      </c>
      <c r="M21" s="18" t="s">
        <v>80</v>
      </c>
      <c r="N21" s="16" t="s">
        <v>155</v>
      </c>
      <c r="O21" s="16">
        <v>123456</v>
      </c>
      <c r="P21" s="31">
        <v>21</v>
      </c>
      <c r="Q21" s="32" t="s">
        <v>86</v>
      </c>
      <c r="R21" s="32">
        <v>1</v>
      </c>
      <c r="S21" s="24">
        <v>519</v>
      </c>
      <c r="T21" s="20"/>
      <c r="U21" s="24" t="s">
        <v>43</v>
      </c>
      <c r="V21" s="33"/>
      <c r="W21" s="43"/>
      <c r="X21" s="26" t="s">
        <v>156</v>
      </c>
      <c r="Y21" s="46" t="s">
        <v>157</v>
      </c>
      <c r="Z21" s="46" t="s">
        <v>158</v>
      </c>
      <c r="AA21" s="46" t="s">
        <v>159</v>
      </c>
      <c r="AB21" s="26" t="s">
        <v>160</v>
      </c>
      <c r="AC21" s="46" t="s">
        <v>161</v>
      </c>
      <c r="AD21" s="46" t="s">
        <v>162</v>
      </c>
      <c r="AE21" s="46" t="s">
        <v>163</v>
      </c>
    </row>
    <row r="22" spans="1:31" s="27" customFormat="1" ht="12" x14ac:dyDescent="0.25">
      <c r="A22" s="13" t="s">
        <v>36</v>
      </c>
      <c r="B22" s="14">
        <v>45199</v>
      </c>
      <c r="C22" s="15" t="s">
        <v>164</v>
      </c>
      <c r="D22" s="13" t="s">
        <v>83</v>
      </c>
      <c r="E22" s="28" t="s">
        <v>165</v>
      </c>
      <c r="F22" s="17">
        <f t="shared" si="3"/>
        <v>202300021</v>
      </c>
      <c r="G22" s="36"/>
      <c r="H22" s="19"/>
      <c r="I22" s="20">
        <f t="shared" si="4"/>
        <v>10920</v>
      </c>
      <c r="J22" s="20">
        <f t="shared" si="1"/>
        <v>13104</v>
      </c>
      <c r="K22" s="20">
        <f t="shared" si="2"/>
        <v>2184</v>
      </c>
      <c r="L22" s="21" t="s">
        <v>166</v>
      </c>
      <c r="M22" s="18" t="s">
        <v>80</v>
      </c>
      <c r="N22" s="16" t="s">
        <v>167</v>
      </c>
      <c r="O22" s="16">
        <v>123456</v>
      </c>
      <c r="P22" s="31">
        <v>21</v>
      </c>
      <c r="Q22" s="32" t="s">
        <v>86</v>
      </c>
      <c r="R22" s="32">
        <v>1</v>
      </c>
      <c r="S22" s="24">
        <v>520</v>
      </c>
      <c r="T22" s="20"/>
      <c r="U22" s="24" t="s">
        <v>43</v>
      </c>
      <c r="V22" s="33"/>
      <c r="W22" s="43"/>
      <c r="X22" s="26" t="s">
        <v>45</v>
      </c>
      <c r="Y22" s="26" t="s">
        <v>46</v>
      </c>
      <c r="Z22" s="26" t="s">
        <v>47</v>
      </c>
      <c r="AA22" s="26" t="s">
        <v>48</v>
      </c>
      <c r="AB22" s="26" t="s">
        <v>45</v>
      </c>
      <c r="AC22" s="26" t="s">
        <v>87</v>
      </c>
      <c r="AD22" s="26" t="s">
        <v>88</v>
      </c>
      <c r="AE22" s="26" t="s">
        <v>89</v>
      </c>
    </row>
    <row r="23" spans="1:31" s="27" customFormat="1" ht="12" x14ac:dyDescent="0.25">
      <c r="A23" s="13" t="s">
        <v>36</v>
      </c>
      <c r="B23" s="14">
        <v>45199</v>
      </c>
      <c r="C23" s="15" t="s">
        <v>168</v>
      </c>
      <c r="D23" s="13" t="s">
        <v>169</v>
      </c>
      <c r="E23" s="16" t="s">
        <v>170</v>
      </c>
      <c r="F23" s="17">
        <f t="shared" si="3"/>
        <v>202300022</v>
      </c>
      <c r="G23" s="36"/>
      <c r="H23" s="19"/>
      <c r="I23" s="20">
        <f t="shared" si="4"/>
        <v>10941</v>
      </c>
      <c r="J23" s="20">
        <f t="shared" si="1"/>
        <v>13129.2</v>
      </c>
      <c r="K23" s="20">
        <f t="shared" si="2"/>
        <v>2188.1999999999998</v>
      </c>
      <c r="L23" s="21" t="s">
        <v>171</v>
      </c>
      <c r="M23" s="18" t="s">
        <v>80</v>
      </c>
      <c r="N23" s="16" t="s">
        <v>172</v>
      </c>
      <c r="O23" s="16">
        <v>123456</v>
      </c>
      <c r="P23" s="31">
        <v>21</v>
      </c>
      <c r="Q23" s="32" t="s">
        <v>86</v>
      </c>
      <c r="R23" s="32">
        <v>1</v>
      </c>
      <c r="S23" s="24">
        <v>521</v>
      </c>
      <c r="T23" s="20"/>
      <c r="U23" s="24" t="s">
        <v>43</v>
      </c>
      <c r="V23" s="33"/>
      <c r="W23" s="51"/>
      <c r="X23" s="26" t="s">
        <v>45</v>
      </c>
      <c r="Y23" s="26" t="s">
        <v>46</v>
      </c>
      <c r="Z23" s="26" t="s">
        <v>47</v>
      </c>
      <c r="AA23" s="26" t="s">
        <v>48</v>
      </c>
      <c r="AB23" s="26" t="s">
        <v>45</v>
      </c>
      <c r="AC23" s="26" t="s">
        <v>139</v>
      </c>
      <c r="AD23" s="26" t="s">
        <v>140</v>
      </c>
      <c r="AE23" s="26" t="s">
        <v>141</v>
      </c>
    </row>
    <row r="24" spans="1:31" s="54" customFormat="1" ht="12" x14ac:dyDescent="0.25">
      <c r="A24" s="13" t="s">
        <v>36</v>
      </c>
      <c r="B24" s="14">
        <v>45199</v>
      </c>
      <c r="C24" s="15" t="s">
        <v>173</v>
      </c>
      <c r="D24" s="13" t="s">
        <v>174</v>
      </c>
      <c r="E24" s="29" t="s">
        <v>175</v>
      </c>
      <c r="F24" s="17">
        <f t="shared" si="3"/>
        <v>202300023</v>
      </c>
      <c r="G24" s="36"/>
      <c r="H24" s="19"/>
      <c r="I24" s="20">
        <f t="shared" si="4"/>
        <v>10962</v>
      </c>
      <c r="J24" s="20">
        <f t="shared" si="1"/>
        <v>13154.4</v>
      </c>
      <c r="K24" s="20">
        <f t="shared" si="2"/>
        <v>2192.4</v>
      </c>
      <c r="L24" s="52">
        <v>8000998963</v>
      </c>
      <c r="M24" s="18" t="s">
        <v>80</v>
      </c>
      <c r="N24" s="16" t="s">
        <v>176</v>
      </c>
      <c r="O24" s="16">
        <v>123456</v>
      </c>
      <c r="P24" s="31">
        <v>21</v>
      </c>
      <c r="Q24" s="32" t="s">
        <v>86</v>
      </c>
      <c r="R24" s="32">
        <v>1</v>
      </c>
      <c r="S24" s="24">
        <v>522</v>
      </c>
      <c r="T24" s="20"/>
      <c r="U24" s="24" t="s">
        <v>43</v>
      </c>
      <c r="V24" s="33"/>
      <c r="W24" s="53"/>
      <c r="X24" s="26" t="s">
        <v>45</v>
      </c>
      <c r="Y24" s="26" t="s">
        <v>46</v>
      </c>
      <c r="Z24" s="26" t="s">
        <v>47</v>
      </c>
      <c r="AA24" s="26" t="s">
        <v>48</v>
      </c>
      <c r="AB24" s="26" t="s">
        <v>45</v>
      </c>
      <c r="AC24" s="26" t="s">
        <v>131</v>
      </c>
      <c r="AD24" s="26" t="s">
        <v>132</v>
      </c>
      <c r="AE24" s="26" t="s">
        <v>133</v>
      </c>
    </row>
    <row r="25" spans="1:31" s="27" customFormat="1" ht="12" x14ac:dyDescent="0.25">
      <c r="A25" s="13" t="s">
        <v>36</v>
      </c>
      <c r="B25" s="14">
        <v>45199</v>
      </c>
      <c r="C25" s="15" t="s">
        <v>177</v>
      </c>
      <c r="D25" s="13" t="s">
        <v>178</v>
      </c>
      <c r="E25" s="16" t="s">
        <v>179</v>
      </c>
      <c r="F25" s="17">
        <f t="shared" si="3"/>
        <v>202300024</v>
      </c>
      <c r="G25" s="18"/>
      <c r="H25" s="19"/>
      <c r="I25" s="20">
        <f t="shared" si="4"/>
        <v>10460</v>
      </c>
      <c r="J25" s="20">
        <f t="shared" si="1"/>
        <v>12552</v>
      </c>
      <c r="K25" s="20">
        <f t="shared" si="2"/>
        <v>2092</v>
      </c>
      <c r="L25" s="21" t="s">
        <v>180</v>
      </c>
      <c r="M25" s="18" t="s">
        <v>80</v>
      </c>
      <c r="N25" s="16" t="s">
        <v>181</v>
      </c>
      <c r="O25" s="16">
        <v>123456</v>
      </c>
      <c r="P25" s="31">
        <v>20</v>
      </c>
      <c r="Q25" s="32" t="s">
        <v>86</v>
      </c>
      <c r="R25" s="32">
        <v>1</v>
      </c>
      <c r="S25" s="24">
        <v>523</v>
      </c>
      <c r="T25" s="20"/>
      <c r="U25" s="24" t="s">
        <v>43</v>
      </c>
      <c r="V25" s="33"/>
      <c r="W25" s="43"/>
      <c r="X25" s="26" t="s">
        <v>45</v>
      </c>
      <c r="Y25" s="26" t="s">
        <v>46</v>
      </c>
      <c r="Z25" s="26" t="s">
        <v>47</v>
      </c>
      <c r="AA25" s="26" t="s">
        <v>48</v>
      </c>
      <c r="AB25" s="26" t="s">
        <v>45</v>
      </c>
      <c r="AC25" s="26" t="s">
        <v>106</v>
      </c>
      <c r="AD25" s="26" t="s">
        <v>107</v>
      </c>
      <c r="AE25" s="26" t="s">
        <v>108</v>
      </c>
    </row>
    <row r="26" spans="1:31" s="27" customFormat="1" ht="12" x14ac:dyDescent="0.25">
      <c r="A26" s="13" t="s">
        <v>36</v>
      </c>
      <c r="B26" s="14">
        <v>45199</v>
      </c>
      <c r="C26" s="15" t="s">
        <v>182</v>
      </c>
      <c r="D26" s="13" t="s">
        <v>183</v>
      </c>
      <c r="E26" s="16" t="s">
        <v>184</v>
      </c>
      <c r="F26" s="17">
        <f t="shared" si="3"/>
        <v>202300025</v>
      </c>
      <c r="G26" s="36"/>
      <c r="H26" s="19"/>
      <c r="I26" s="20">
        <f t="shared" si="4"/>
        <v>11004</v>
      </c>
      <c r="J26" s="20">
        <f t="shared" si="1"/>
        <v>13204.8</v>
      </c>
      <c r="K26" s="20">
        <f t="shared" si="2"/>
        <v>2200.8000000000002</v>
      </c>
      <c r="L26" s="21" t="s">
        <v>185</v>
      </c>
      <c r="M26" s="18" t="s">
        <v>80</v>
      </c>
      <c r="N26" s="16" t="s">
        <v>186</v>
      </c>
      <c r="O26" s="16">
        <v>123456</v>
      </c>
      <c r="P26" s="31">
        <v>21</v>
      </c>
      <c r="Q26" s="32" t="s">
        <v>42</v>
      </c>
      <c r="R26" s="32">
        <v>21</v>
      </c>
      <c r="S26" s="24">
        <v>524</v>
      </c>
      <c r="T26" s="20">
        <v>524</v>
      </c>
      <c r="U26" s="24" t="s">
        <v>43</v>
      </c>
      <c r="V26" s="33"/>
      <c r="W26" s="43"/>
      <c r="X26" s="26" t="s">
        <v>45</v>
      </c>
      <c r="Y26" s="26" t="s">
        <v>46</v>
      </c>
      <c r="Z26" s="26" t="s">
        <v>47</v>
      </c>
      <c r="AA26" s="26" t="s">
        <v>48</v>
      </c>
      <c r="AB26" s="26" t="s">
        <v>45</v>
      </c>
      <c r="AC26" s="26" t="s">
        <v>46</v>
      </c>
      <c r="AD26" s="26" t="s">
        <v>47</v>
      </c>
      <c r="AE26" s="26" t="s">
        <v>95</v>
      </c>
    </row>
    <row r="27" spans="1:31" s="27" customFormat="1" ht="12" x14ac:dyDescent="0.25">
      <c r="A27" s="13" t="s">
        <v>36</v>
      </c>
      <c r="B27" s="14">
        <v>45199</v>
      </c>
      <c r="C27" s="15" t="s">
        <v>187</v>
      </c>
      <c r="D27" s="13" t="s">
        <v>188</v>
      </c>
      <c r="E27" s="16" t="s">
        <v>184</v>
      </c>
      <c r="F27" s="17">
        <f t="shared" si="3"/>
        <v>202300026</v>
      </c>
      <c r="G27" s="36"/>
      <c r="H27" s="19"/>
      <c r="I27" s="20">
        <v>3243.36</v>
      </c>
      <c r="J27" s="20">
        <f t="shared" si="1"/>
        <v>3892.0320000000002</v>
      </c>
      <c r="K27" s="20">
        <f t="shared" si="2"/>
        <v>648.67200000000003</v>
      </c>
      <c r="L27" s="21" t="s">
        <v>185</v>
      </c>
      <c r="M27" s="18" t="s">
        <v>80</v>
      </c>
      <c r="N27" s="16" t="s">
        <v>189</v>
      </c>
      <c r="O27" s="16">
        <v>123456</v>
      </c>
      <c r="P27" s="31">
        <v>0</v>
      </c>
      <c r="Q27" s="32" t="s">
        <v>42</v>
      </c>
      <c r="R27" s="32">
        <v>0</v>
      </c>
      <c r="S27" s="24">
        <v>525</v>
      </c>
      <c r="T27" s="20">
        <v>525</v>
      </c>
      <c r="U27" s="24" t="s">
        <v>43</v>
      </c>
      <c r="V27" s="33"/>
      <c r="W27" s="43"/>
      <c r="X27" s="26" t="s">
        <v>45</v>
      </c>
      <c r="Y27" s="26" t="s">
        <v>46</v>
      </c>
      <c r="Z27" s="26" t="s">
        <v>47</v>
      </c>
      <c r="AA27" s="26" t="s">
        <v>48</v>
      </c>
      <c r="AB27" s="26" t="s">
        <v>45</v>
      </c>
      <c r="AC27" s="26" t="s">
        <v>46</v>
      </c>
      <c r="AD27" s="26" t="s">
        <v>47</v>
      </c>
      <c r="AE27" s="26" t="s">
        <v>95</v>
      </c>
    </row>
    <row r="28" spans="1:31" s="27" customFormat="1" ht="12" x14ac:dyDescent="0.25">
      <c r="A28" s="13" t="s">
        <v>36</v>
      </c>
      <c r="B28" s="14">
        <v>45199</v>
      </c>
      <c r="C28" s="15" t="s">
        <v>190</v>
      </c>
      <c r="D28" s="13" t="s">
        <v>174</v>
      </c>
      <c r="E28" s="29" t="s">
        <v>191</v>
      </c>
      <c r="F28" s="17">
        <f t="shared" si="3"/>
        <v>202300027</v>
      </c>
      <c r="G28" s="36"/>
      <c r="H28" s="19"/>
      <c r="I28" s="20">
        <f t="shared" ref="I28:I36" si="5">S28*P28</f>
        <v>10257</v>
      </c>
      <c r="J28" s="20">
        <f t="shared" si="1"/>
        <v>12308.4</v>
      </c>
      <c r="K28" s="20">
        <f t="shared" si="2"/>
        <v>2051.4</v>
      </c>
      <c r="L28" s="21">
        <v>8000998934</v>
      </c>
      <c r="M28" s="18" t="s">
        <v>80</v>
      </c>
      <c r="N28" s="16" t="s">
        <v>192</v>
      </c>
      <c r="O28" s="16">
        <v>123456</v>
      </c>
      <c r="P28" s="31">
        <v>19.5</v>
      </c>
      <c r="Q28" s="32" t="s">
        <v>42</v>
      </c>
      <c r="R28" s="32">
        <v>19.5</v>
      </c>
      <c r="S28" s="24">
        <v>526</v>
      </c>
      <c r="T28" s="20">
        <v>526</v>
      </c>
      <c r="U28" s="24" t="s">
        <v>43</v>
      </c>
      <c r="V28" s="33"/>
      <c r="W28" s="43"/>
      <c r="X28" s="26" t="s">
        <v>45</v>
      </c>
      <c r="Y28" s="26" t="s">
        <v>46</v>
      </c>
      <c r="Z28" s="26" t="s">
        <v>47</v>
      </c>
      <c r="AA28" s="26" t="s">
        <v>48</v>
      </c>
      <c r="AB28" s="26" t="s">
        <v>45</v>
      </c>
      <c r="AC28" s="26" t="s">
        <v>131</v>
      </c>
      <c r="AD28" s="26" t="s">
        <v>132</v>
      </c>
      <c r="AE28" s="26" t="s">
        <v>133</v>
      </c>
    </row>
    <row r="29" spans="1:31" s="27" customFormat="1" ht="12" x14ac:dyDescent="0.25">
      <c r="A29" s="13" t="s">
        <v>36</v>
      </c>
      <c r="B29" s="14">
        <v>45199</v>
      </c>
      <c r="C29" s="15" t="s">
        <v>193</v>
      </c>
      <c r="D29" s="13" t="s">
        <v>194</v>
      </c>
      <c r="E29" s="16" t="s">
        <v>195</v>
      </c>
      <c r="F29" s="17">
        <f t="shared" si="3"/>
        <v>202300028</v>
      </c>
      <c r="G29" s="36"/>
      <c r="H29" s="19"/>
      <c r="I29" s="20">
        <f t="shared" si="5"/>
        <v>8168.5</v>
      </c>
      <c r="J29" s="20">
        <f t="shared" si="1"/>
        <v>9802.2000000000007</v>
      </c>
      <c r="K29" s="20">
        <f t="shared" si="2"/>
        <v>1633.7</v>
      </c>
      <c r="L29" s="52" t="s">
        <v>196</v>
      </c>
      <c r="M29" s="18" t="s">
        <v>80</v>
      </c>
      <c r="N29" s="16" t="s">
        <v>197</v>
      </c>
      <c r="O29" s="16">
        <v>123456</v>
      </c>
      <c r="P29" s="31">
        <v>15.5</v>
      </c>
      <c r="Q29" s="32" t="s">
        <v>42</v>
      </c>
      <c r="R29" s="32">
        <v>15.5</v>
      </c>
      <c r="S29" s="24">
        <v>527</v>
      </c>
      <c r="T29" s="20">
        <v>527</v>
      </c>
      <c r="U29" s="24" t="s">
        <v>43</v>
      </c>
      <c r="V29" s="33"/>
      <c r="W29" s="43"/>
      <c r="X29" s="26" t="s">
        <v>45</v>
      </c>
      <c r="Y29" s="26" t="s">
        <v>46</v>
      </c>
      <c r="Z29" s="26" t="s">
        <v>47</v>
      </c>
      <c r="AA29" s="26" t="s">
        <v>48</v>
      </c>
      <c r="AB29" s="26" t="s">
        <v>45</v>
      </c>
      <c r="AC29" s="26" t="s">
        <v>106</v>
      </c>
      <c r="AD29" s="26" t="s">
        <v>107</v>
      </c>
      <c r="AE29" s="26" t="s">
        <v>108</v>
      </c>
    </row>
    <row r="30" spans="1:31" s="27" customFormat="1" ht="12" x14ac:dyDescent="0.25">
      <c r="A30" s="13" t="s">
        <v>36</v>
      </c>
      <c r="B30" s="14">
        <v>45199</v>
      </c>
      <c r="C30" s="15" t="s">
        <v>198</v>
      </c>
      <c r="D30" s="13" t="s">
        <v>199</v>
      </c>
      <c r="E30" s="29" t="s">
        <v>200</v>
      </c>
      <c r="F30" s="17">
        <f t="shared" si="3"/>
        <v>202300029</v>
      </c>
      <c r="G30" s="36"/>
      <c r="H30" s="19"/>
      <c r="I30" s="20">
        <f t="shared" si="5"/>
        <v>10032</v>
      </c>
      <c r="J30" s="20">
        <f t="shared" si="1"/>
        <v>12038.4</v>
      </c>
      <c r="K30" s="20">
        <f t="shared" si="2"/>
        <v>2006.4</v>
      </c>
      <c r="L30" s="52" t="s">
        <v>201</v>
      </c>
      <c r="M30" s="18" t="s">
        <v>202</v>
      </c>
      <c r="N30" s="16" t="s">
        <v>203</v>
      </c>
      <c r="O30" s="16">
        <v>123456</v>
      </c>
      <c r="P30" s="31">
        <v>19</v>
      </c>
      <c r="Q30" s="32" t="s">
        <v>42</v>
      </c>
      <c r="R30" s="32">
        <v>19</v>
      </c>
      <c r="S30" s="24">
        <v>528</v>
      </c>
      <c r="T30" s="20">
        <v>528</v>
      </c>
      <c r="U30" s="24" t="s">
        <v>43</v>
      </c>
      <c r="V30" s="33"/>
      <c r="W30" s="43"/>
      <c r="X30" s="26" t="s">
        <v>45</v>
      </c>
      <c r="Y30" s="26" t="s">
        <v>46</v>
      </c>
      <c r="Z30" s="26" t="s">
        <v>47</v>
      </c>
      <c r="AA30" s="26" t="s">
        <v>48</v>
      </c>
      <c r="AB30" s="26" t="s">
        <v>45</v>
      </c>
      <c r="AC30" s="26" t="s">
        <v>49</v>
      </c>
      <c r="AD30" s="26" t="s">
        <v>47</v>
      </c>
      <c r="AE30" s="26" t="s">
        <v>50</v>
      </c>
    </row>
    <row r="31" spans="1:31" s="27" customFormat="1" ht="12" x14ac:dyDescent="0.25">
      <c r="A31" s="13" t="s">
        <v>36</v>
      </c>
      <c r="B31" s="14">
        <v>45199</v>
      </c>
      <c r="C31" s="15" t="s">
        <v>204</v>
      </c>
      <c r="D31" s="13" t="s">
        <v>205</v>
      </c>
      <c r="E31" s="16" t="s">
        <v>206</v>
      </c>
      <c r="F31" s="17">
        <f t="shared" si="3"/>
        <v>202300030</v>
      </c>
      <c r="G31" s="36"/>
      <c r="H31" s="19"/>
      <c r="I31" s="20">
        <f t="shared" si="5"/>
        <v>11109</v>
      </c>
      <c r="J31" s="20">
        <f t="shared" si="1"/>
        <v>13330.8</v>
      </c>
      <c r="K31" s="20">
        <f t="shared" si="2"/>
        <v>2221.8000000000002</v>
      </c>
      <c r="L31" s="52">
        <v>8000919844</v>
      </c>
      <c r="M31" s="18" t="s">
        <v>80</v>
      </c>
      <c r="N31" s="16" t="s">
        <v>207</v>
      </c>
      <c r="O31" s="16">
        <v>123456</v>
      </c>
      <c r="P31" s="31">
        <v>21</v>
      </c>
      <c r="Q31" s="32" t="s">
        <v>42</v>
      </c>
      <c r="R31" s="32">
        <v>21</v>
      </c>
      <c r="S31" s="24">
        <v>529</v>
      </c>
      <c r="T31" s="20">
        <v>529</v>
      </c>
      <c r="U31" s="24" t="s">
        <v>43</v>
      </c>
      <c r="V31" s="33"/>
      <c r="W31" s="50"/>
      <c r="X31" s="26" t="s">
        <v>45</v>
      </c>
      <c r="Y31" s="26" t="s">
        <v>46</v>
      </c>
      <c r="Z31" s="26" t="s">
        <v>47</v>
      </c>
      <c r="AA31" s="26" t="s">
        <v>48</v>
      </c>
      <c r="AB31" s="26" t="s">
        <v>45</v>
      </c>
      <c r="AC31" s="26" t="s">
        <v>46</v>
      </c>
      <c r="AD31" s="26" t="s">
        <v>47</v>
      </c>
      <c r="AE31" s="26" t="s">
        <v>95</v>
      </c>
    </row>
    <row r="32" spans="1:31" s="27" customFormat="1" ht="12" x14ac:dyDescent="0.25">
      <c r="A32" s="13" t="s">
        <v>36</v>
      </c>
      <c r="B32" s="14">
        <v>45199</v>
      </c>
      <c r="C32" s="15" t="s">
        <v>208</v>
      </c>
      <c r="D32" s="13" t="s">
        <v>209</v>
      </c>
      <c r="E32" s="29" t="s">
        <v>210</v>
      </c>
      <c r="F32" s="17">
        <f t="shared" si="3"/>
        <v>202300031</v>
      </c>
      <c r="G32" s="36"/>
      <c r="H32" s="19"/>
      <c r="I32" s="20">
        <f t="shared" si="5"/>
        <v>9010</v>
      </c>
      <c r="J32" s="20">
        <f t="shared" si="1"/>
        <v>10812</v>
      </c>
      <c r="K32" s="20">
        <f t="shared" si="2"/>
        <v>1802</v>
      </c>
      <c r="L32" s="52" t="s">
        <v>211</v>
      </c>
      <c r="M32" s="18" t="s">
        <v>80</v>
      </c>
      <c r="N32" s="16" t="s">
        <v>212</v>
      </c>
      <c r="O32" s="16">
        <v>123456</v>
      </c>
      <c r="P32" s="31">
        <v>17</v>
      </c>
      <c r="Q32" s="32" t="s">
        <v>42</v>
      </c>
      <c r="R32" s="32">
        <v>17</v>
      </c>
      <c r="S32" s="24">
        <v>530</v>
      </c>
      <c r="T32" s="20">
        <v>530</v>
      </c>
      <c r="U32" s="24" t="s">
        <v>43</v>
      </c>
      <c r="V32" s="33"/>
      <c r="W32" s="43"/>
      <c r="X32" s="26" t="s">
        <v>45</v>
      </c>
      <c r="Y32" s="26" t="s">
        <v>46</v>
      </c>
      <c r="Z32" s="26" t="s">
        <v>47</v>
      </c>
      <c r="AA32" s="26" t="s">
        <v>48</v>
      </c>
      <c r="AB32" s="26" t="s">
        <v>45</v>
      </c>
      <c r="AC32" s="26" t="s">
        <v>46</v>
      </c>
      <c r="AD32" s="26" t="s">
        <v>47</v>
      </c>
      <c r="AE32" s="26" t="s">
        <v>95</v>
      </c>
    </row>
    <row r="33" spans="1:31" s="27" customFormat="1" ht="12" x14ac:dyDescent="0.25">
      <c r="A33" s="13" t="s">
        <v>36</v>
      </c>
      <c r="B33" s="14">
        <v>45199</v>
      </c>
      <c r="C33" s="15" t="s">
        <v>213</v>
      </c>
      <c r="D33" s="13" t="s">
        <v>214</v>
      </c>
      <c r="E33" s="55" t="s">
        <v>215</v>
      </c>
      <c r="F33" s="17">
        <f t="shared" si="3"/>
        <v>202300032</v>
      </c>
      <c r="G33" s="36"/>
      <c r="H33" s="19"/>
      <c r="I33" s="20">
        <f t="shared" si="5"/>
        <v>11151</v>
      </c>
      <c r="J33" s="20">
        <f t="shared" si="1"/>
        <v>13381.2</v>
      </c>
      <c r="K33" s="20">
        <f t="shared" si="2"/>
        <v>2230.1999999999998</v>
      </c>
      <c r="L33" s="52">
        <v>8000935071</v>
      </c>
      <c r="M33" s="18" t="s">
        <v>80</v>
      </c>
      <c r="N33" s="16" t="s">
        <v>216</v>
      </c>
      <c r="O33" s="16">
        <v>123456</v>
      </c>
      <c r="P33" s="31">
        <v>21</v>
      </c>
      <c r="Q33" s="32" t="s">
        <v>42</v>
      </c>
      <c r="R33" s="32">
        <v>21</v>
      </c>
      <c r="S33" s="24">
        <v>531</v>
      </c>
      <c r="T33" s="20">
        <v>531</v>
      </c>
      <c r="U33" s="24" t="s">
        <v>43</v>
      </c>
      <c r="V33" s="33"/>
      <c r="W33" s="43"/>
      <c r="X33" s="26" t="s">
        <v>45</v>
      </c>
      <c r="Y33" s="26" t="s">
        <v>46</v>
      </c>
      <c r="Z33" s="26" t="s">
        <v>47</v>
      </c>
      <c r="AA33" s="26" t="s">
        <v>48</v>
      </c>
      <c r="AB33" s="26" t="s">
        <v>45</v>
      </c>
      <c r="AC33" s="26" t="s">
        <v>46</v>
      </c>
      <c r="AD33" s="26" t="s">
        <v>47</v>
      </c>
      <c r="AE33" s="26" t="s">
        <v>95</v>
      </c>
    </row>
    <row r="34" spans="1:31" s="27" customFormat="1" ht="13.05" customHeight="1" x14ac:dyDescent="0.25">
      <c r="A34" s="13" t="s">
        <v>36</v>
      </c>
      <c r="B34" s="14">
        <v>45199</v>
      </c>
      <c r="C34" s="15" t="s">
        <v>217</v>
      </c>
      <c r="D34" s="13" t="s">
        <v>218</v>
      </c>
      <c r="E34" s="29" t="s">
        <v>219</v>
      </c>
      <c r="F34" s="17">
        <f t="shared" si="3"/>
        <v>202300033</v>
      </c>
      <c r="G34" s="36"/>
      <c r="H34" s="19"/>
      <c r="I34" s="20">
        <f t="shared" si="5"/>
        <v>7980</v>
      </c>
      <c r="J34" s="20">
        <f t="shared" si="1"/>
        <v>9576</v>
      </c>
      <c r="K34" s="20">
        <f t="shared" si="2"/>
        <v>1596</v>
      </c>
      <c r="L34" s="52">
        <v>8000909606</v>
      </c>
      <c r="M34" s="18" t="s">
        <v>202</v>
      </c>
      <c r="N34" s="16" t="s">
        <v>220</v>
      </c>
      <c r="O34" s="16">
        <v>123456</v>
      </c>
      <c r="P34" s="31">
        <v>15</v>
      </c>
      <c r="Q34" s="32" t="s">
        <v>42</v>
      </c>
      <c r="R34" s="32">
        <v>15</v>
      </c>
      <c r="S34" s="24">
        <v>532</v>
      </c>
      <c r="T34" s="20">
        <v>532</v>
      </c>
      <c r="U34" s="24" t="s">
        <v>43</v>
      </c>
      <c r="V34" s="33"/>
      <c r="W34" s="50"/>
      <c r="X34" s="26" t="s">
        <v>45</v>
      </c>
      <c r="Y34" s="26" t="s">
        <v>46</v>
      </c>
      <c r="Z34" s="26" t="s">
        <v>47</v>
      </c>
      <c r="AA34" s="26" t="s">
        <v>48</v>
      </c>
      <c r="AB34" s="26" t="s">
        <v>45</v>
      </c>
      <c r="AC34" s="26" t="s">
        <v>106</v>
      </c>
      <c r="AD34" s="26" t="s">
        <v>107</v>
      </c>
      <c r="AE34" s="26" t="s">
        <v>108</v>
      </c>
    </row>
    <row r="35" spans="1:31" s="27" customFormat="1" ht="12" x14ac:dyDescent="0.25">
      <c r="A35" s="13" t="s">
        <v>36</v>
      </c>
      <c r="B35" s="14">
        <v>45199</v>
      </c>
      <c r="C35" s="15" t="s">
        <v>221</v>
      </c>
      <c r="D35" s="13" t="s">
        <v>222</v>
      </c>
      <c r="E35" s="16" t="s">
        <v>223</v>
      </c>
      <c r="F35" s="17">
        <f t="shared" si="3"/>
        <v>202300034</v>
      </c>
      <c r="G35" s="36"/>
      <c r="H35" s="19"/>
      <c r="I35" s="20">
        <f t="shared" si="5"/>
        <v>9327.5</v>
      </c>
      <c r="J35" s="20">
        <f t="shared" si="1"/>
        <v>11193</v>
      </c>
      <c r="K35" s="20">
        <f t="shared" si="2"/>
        <v>1865.5</v>
      </c>
      <c r="L35" s="52" t="s">
        <v>224</v>
      </c>
      <c r="M35" s="18" t="s">
        <v>202</v>
      </c>
      <c r="N35" s="16" t="s">
        <v>225</v>
      </c>
      <c r="O35" s="16">
        <v>123456</v>
      </c>
      <c r="P35" s="31">
        <v>17.5</v>
      </c>
      <c r="Q35" s="32" t="s">
        <v>42</v>
      </c>
      <c r="R35" s="32">
        <v>17.5</v>
      </c>
      <c r="S35" s="24">
        <v>533</v>
      </c>
      <c r="T35" s="20">
        <v>533</v>
      </c>
      <c r="U35" s="24" t="s">
        <v>43</v>
      </c>
      <c r="V35" s="33"/>
      <c r="W35" s="43"/>
      <c r="X35" s="26" t="s">
        <v>45</v>
      </c>
      <c r="Y35" s="26" t="s">
        <v>46</v>
      </c>
      <c r="Z35" s="26" t="s">
        <v>47</v>
      </c>
      <c r="AA35" s="26" t="s">
        <v>48</v>
      </c>
      <c r="AB35" s="26" t="s">
        <v>45</v>
      </c>
      <c r="AC35" s="26" t="s">
        <v>106</v>
      </c>
      <c r="AD35" s="26" t="s">
        <v>107</v>
      </c>
      <c r="AE35" s="26" t="s">
        <v>108</v>
      </c>
    </row>
    <row r="36" spans="1:31" s="27" customFormat="1" ht="12.45" customHeight="1" x14ac:dyDescent="0.25">
      <c r="A36" s="13" t="s">
        <v>36</v>
      </c>
      <c r="B36" s="14">
        <v>45199</v>
      </c>
      <c r="C36" s="15" t="s">
        <v>226</v>
      </c>
      <c r="D36" s="13" t="s">
        <v>227</v>
      </c>
      <c r="E36" s="29" t="s">
        <v>228</v>
      </c>
      <c r="F36" s="17">
        <f t="shared" si="3"/>
        <v>202300035</v>
      </c>
      <c r="G36" s="36"/>
      <c r="H36" s="19"/>
      <c r="I36" s="20">
        <f t="shared" si="5"/>
        <v>10146</v>
      </c>
      <c r="J36" s="20">
        <f t="shared" si="1"/>
        <v>12175.2</v>
      </c>
      <c r="K36" s="20">
        <f t="shared" si="2"/>
        <v>2029.2</v>
      </c>
      <c r="L36" s="52" t="s">
        <v>229</v>
      </c>
      <c r="M36" s="18" t="s">
        <v>202</v>
      </c>
      <c r="N36" s="16" t="s">
        <v>230</v>
      </c>
      <c r="O36" s="16">
        <v>123456</v>
      </c>
      <c r="P36" s="31">
        <v>19</v>
      </c>
      <c r="Q36" s="32" t="s">
        <v>42</v>
      </c>
      <c r="R36" s="32">
        <v>19</v>
      </c>
      <c r="S36" s="24">
        <v>534</v>
      </c>
      <c r="T36" s="20">
        <v>534</v>
      </c>
      <c r="U36" s="24" t="s">
        <v>43</v>
      </c>
      <c r="V36" s="33"/>
      <c r="W36" s="50"/>
      <c r="X36" s="26" t="s">
        <v>45</v>
      </c>
      <c r="Y36" s="26" t="s">
        <v>46</v>
      </c>
      <c r="Z36" s="26" t="s">
        <v>47</v>
      </c>
      <c r="AA36" s="26" t="s">
        <v>48</v>
      </c>
      <c r="AB36" s="26" t="s">
        <v>45</v>
      </c>
      <c r="AC36" s="26" t="s">
        <v>49</v>
      </c>
      <c r="AD36" s="26" t="s">
        <v>47</v>
      </c>
      <c r="AE36" s="26" t="s">
        <v>50</v>
      </c>
    </row>
    <row r="37" spans="1:31" s="56" customFormat="1" x14ac:dyDescent="0.3">
      <c r="A37" s="2"/>
      <c r="B37" s="3"/>
      <c r="D37" s="2"/>
      <c r="G37" s="2"/>
      <c r="H37" s="3"/>
      <c r="I37" s="57" t="s">
        <v>231</v>
      </c>
      <c r="J37" s="58"/>
      <c r="K37" s="58"/>
      <c r="M37" s="2"/>
      <c r="N37" s="2"/>
      <c r="O37" s="2"/>
    </row>
    <row r="38" spans="1:31" s="59" customFormat="1" ht="12" x14ac:dyDescent="0.25">
      <c r="B38" s="60"/>
      <c r="H38" s="60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1106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Params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Zamoun Mourad</dc:creator>
  <dc:description/>
  <cp:lastModifiedBy>Zamoun Mourad</cp:lastModifiedBy>
  <cp:revision>52</cp:revision>
  <dcterms:created xsi:type="dcterms:W3CDTF">2023-09-30T22:48:51Z</dcterms:created>
  <dcterms:modified xsi:type="dcterms:W3CDTF">2023-10-10T23:05:08Z</dcterms:modified>
  <dc:language>fr-FR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MSIP_Label_6c04a875-6eb2-484b-a14b-e2519851b720_ActionId">
    <vt:lpwstr>8e479099-10ad-43f5-8107-97cb7df8b767</vt:lpwstr>
  </property>
  <property fmtid="{D5CDD505-2E9C-101B-9397-08002B2CF9AE}" pid="7" name="MSIP_Label_6c04a875-6eb2-484b-a14b-e2519851b720_ContentBits">
    <vt:lpwstr>0</vt:lpwstr>
  </property>
  <property fmtid="{D5CDD505-2E9C-101B-9397-08002B2CF9AE}" pid="8" name="MSIP_Label_6c04a875-6eb2-484b-a14b-e2519851b720_Enabled">
    <vt:lpwstr>true</vt:lpwstr>
  </property>
  <property fmtid="{D5CDD505-2E9C-101B-9397-08002B2CF9AE}" pid="9" name="MSIP_Label_6c04a875-6eb2-484b-a14b-e2519851b720_Method">
    <vt:lpwstr>Standard</vt:lpwstr>
  </property>
  <property fmtid="{D5CDD505-2E9C-101B-9397-08002B2CF9AE}" pid="10" name="MSIP_Label_6c04a875-6eb2-484b-a14b-e2519851b720_Name">
    <vt:lpwstr>External</vt:lpwstr>
  </property>
  <property fmtid="{D5CDD505-2E9C-101B-9397-08002B2CF9AE}" pid="11" name="MSIP_Label_6c04a875-6eb2-484b-a14b-e2519851b720_SetDate">
    <vt:lpwstr>2023-09-30T22:48:52Z</vt:lpwstr>
  </property>
  <property fmtid="{D5CDD505-2E9C-101B-9397-08002B2CF9AE}" pid="12" name="MSIP_Label_6c04a875-6eb2-484b-a14b-e2519851b720_SiteId">
    <vt:lpwstr>14cb4ab4-62b8-45a2-a944-e225383ee1f9</vt:lpwstr>
  </property>
  <property fmtid="{D5CDD505-2E9C-101B-9397-08002B2CF9AE}" pid="13" name="ScaleCrop">
    <vt:bool>false</vt:bool>
  </property>
  <property fmtid="{D5CDD505-2E9C-101B-9397-08002B2CF9AE}" pid="14" name="ShareDoc">
    <vt:bool>false</vt:bool>
  </property>
</Properties>
</file>